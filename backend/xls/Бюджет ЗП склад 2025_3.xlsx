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yu.kalabekova\Desktop\для переноса\"/>
    </mc:Choice>
  </mc:AlternateContent>
  <xr:revisionPtr revIDLastSave="0" documentId="8_{F944A9BC-AB9B-47B1-9803-45C4CCCB2B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мой" sheetId="3" r:id="rId1"/>
    <sheet name="2025г." sheetId="1" r:id="rId2"/>
    <sheet name="Фот 2024г." sheetId="2" r:id="rId3"/>
  </sheets>
  <definedNames>
    <definedName name="_xlnm._FilterDatabase" localSheetId="1" hidden="1">'2025г.'!$A$4:$AK$78</definedName>
    <definedName name="_xlnm._FilterDatabase" localSheetId="0" hidden="1">мой!$A$4:$AE$78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0" i="1" l="1"/>
  <c r="T77" i="1"/>
  <c r="V78" i="1"/>
  <c r="P69" i="3"/>
  <c r="P71" i="3"/>
  <c r="P72" i="3"/>
  <c r="P73" i="3"/>
  <c r="P74" i="3"/>
  <c r="P75" i="3"/>
  <c r="P76" i="3"/>
  <c r="R236" i="3"/>
  <c r="F236" i="3"/>
  <c r="E236" i="3"/>
  <c r="Q235" i="3"/>
  <c r="Q234" i="3"/>
  <c r="Q233" i="3"/>
  <c r="Q232" i="3"/>
  <c r="Q231" i="3"/>
  <c r="Q230" i="3"/>
  <c r="Q229" i="3"/>
  <c r="Q228" i="3"/>
  <c r="Q207" i="3"/>
  <c r="Q185" i="3"/>
  <c r="Q183" i="3"/>
  <c r="Q174" i="3"/>
  <c r="Q156" i="3"/>
  <c r="Q155" i="3"/>
  <c r="Q154" i="3"/>
  <c r="Q153" i="3"/>
  <c r="Q152" i="3"/>
  <c r="Q151" i="3"/>
  <c r="P150" i="3"/>
  <c r="P70" i="3" s="1"/>
  <c r="O150" i="3"/>
  <c r="N150" i="3"/>
  <c r="M150" i="3"/>
  <c r="L150" i="3"/>
  <c r="K150" i="3"/>
  <c r="J150" i="3"/>
  <c r="J70" i="3" s="1"/>
  <c r="I150" i="3"/>
  <c r="H150" i="3"/>
  <c r="H70" i="3" s="1"/>
  <c r="G150" i="3"/>
  <c r="E149" i="3"/>
  <c r="Q149" i="3" s="1"/>
  <c r="P148" i="3"/>
  <c r="O148" i="3"/>
  <c r="N148" i="3"/>
  <c r="M148" i="3"/>
  <c r="L148" i="3"/>
  <c r="K148" i="3"/>
  <c r="J148" i="3"/>
  <c r="I148" i="3"/>
  <c r="H148" i="3"/>
  <c r="G148" i="3"/>
  <c r="P147" i="3"/>
  <c r="O147" i="3"/>
  <c r="N147" i="3"/>
  <c r="M147" i="3"/>
  <c r="P146" i="3"/>
  <c r="O146" i="3"/>
  <c r="N146" i="3"/>
  <c r="M146" i="3"/>
  <c r="L146" i="3"/>
  <c r="K146" i="3"/>
  <c r="J146" i="3"/>
  <c r="I146" i="3"/>
  <c r="H146" i="3"/>
  <c r="G146" i="3"/>
  <c r="P145" i="3"/>
  <c r="O145" i="3"/>
  <c r="N145" i="3"/>
  <c r="M145" i="3"/>
  <c r="L145" i="3"/>
  <c r="K145" i="3"/>
  <c r="J145" i="3"/>
  <c r="I145" i="3"/>
  <c r="H145" i="3"/>
  <c r="G145" i="3"/>
  <c r="P144" i="3"/>
  <c r="O144" i="3"/>
  <c r="N144" i="3"/>
  <c r="M144" i="3"/>
  <c r="P143" i="3"/>
  <c r="O143" i="3"/>
  <c r="N143" i="3"/>
  <c r="M143" i="3"/>
  <c r="P142" i="3"/>
  <c r="O142" i="3"/>
  <c r="N142" i="3"/>
  <c r="M142" i="3"/>
  <c r="P141" i="3"/>
  <c r="O141" i="3"/>
  <c r="N141" i="3"/>
  <c r="M141" i="3"/>
  <c r="L141" i="3"/>
  <c r="K141" i="3"/>
  <c r="J141" i="3"/>
  <c r="I141" i="3"/>
  <c r="H141" i="3"/>
  <c r="G141" i="3"/>
  <c r="P140" i="3"/>
  <c r="O140" i="3"/>
  <c r="N140" i="3"/>
  <c r="M140" i="3"/>
  <c r="L140" i="3"/>
  <c r="K140" i="3"/>
  <c r="J140" i="3"/>
  <c r="I140" i="3"/>
  <c r="H140" i="3"/>
  <c r="G140" i="3"/>
  <c r="P139" i="3"/>
  <c r="O139" i="3"/>
  <c r="N139" i="3"/>
  <c r="M139" i="3"/>
  <c r="L139" i="3"/>
  <c r="K139" i="3"/>
  <c r="J139" i="3"/>
  <c r="I139" i="3"/>
  <c r="H139" i="3"/>
  <c r="G139" i="3"/>
  <c r="P138" i="3"/>
  <c r="O138" i="3"/>
  <c r="N138" i="3"/>
  <c r="M138" i="3"/>
  <c r="P137" i="3"/>
  <c r="O137" i="3"/>
  <c r="N137" i="3"/>
  <c r="M137" i="3"/>
  <c r="P136" i="3"/>
  <c r="O136" i="3"/>
  <c r="N136" i="3"/>
  <c r="M136" i="3"/>
  <c r="L136" i="3"/>
  <c r="K136" i="3"/>
  <c r="J136" i="3"/>
  <c r="I136" i="3"/>
  <c r="H136" i="3"/>
  <c r="G136" i="3"/>
  <c r="P135" i="3"/>
  <c r="O135" i="3"/>
  <c r="N135" i="3"/>
  <c r="M135" i="3"/>
  <c r="L135" i="3"/>
  <c r="K135" i="3"/>
  <c r="J135" i="3"/>
  <c r="I135" i="3"/>
  <c r="H135" i="3"/>
  <c r="G135" i="3"/>
  <c r="P134" i="3"/>
  <c r="O134" i="3"/>
  <c r="N134" i="3"/>
  <c r="M134" i="3"/>
  <c r="L134" i="3"/>
  <c r="K134" i="3"/>
  <c r="J134" i="3"/>
  <c r="I134" i="3"/>
  <c r="H134" i="3"/>
  <c r="G134" i="3"/>
  <c r="P133" i="3"/>
  <c r="O133" i="3"/>
  <c r="N133" i="3"/>
  <c r="M133" i="3"/>
  <c r="L133" i="3"/>
  <c r="K133" i="3"/>
  <c r="J133" i="3"/>
  <c r="I133" i="3"/>
  <c r="H133" i="3"/>
  <c r="G133" i="3"/>
  <c r="P132" i="3"/>
  <c r="O132" i="3"/>
  <c r="N132" i="3"/>
  <c r="M132" i="3"/>
  <c r="L132" i="3"/>
  <c r="K132" i="3"/>
  <c r="J132" i="3"/>
  <c r="I132" i="3"/>
  <c r="H132" i="3"/>
  <c r="G132" i="3"/>
  <c r="P131" i="3"/>
  <c r="O131" i="3"/>
  <c r="N131" i="3"/>
  <c r="M131" i="3"/>
  <c r="L131" i="3"/>
  <c r="K131" i="3"/>
  <c r="J131" i="3"/>
  <c r="I131" i="3"/>
  <c r="H131" i="3"/>
  <c r="G131" i="3"/>
  <c r="P130" i="3"/>
  <c r="O130" i="3"/>
  <c r="N130" i="3"/>
  <c r="M130" i="3"/>
  <c r="L130" i="3"/>
  <c r="K130" i="3"/>
  <c r="J130" i="3"/>
  <c r="I130" i="3"/>
  <c r="H130" i="3"/>
  <c r="G130" i="3"/>
  <c r="P129" i="3"/>
  <c r="O129" i="3"/>
  <c r="N129" i="3"/>
  <c r="M129" i="3"/>
  <c r="L129" i="3"/>
  <c r="K129" i="3"/>
  <c r="J129" i="3"/>
  <c r="I129" i="3"/>
  <c r="H129" i="3"/>
  <c r="G129" i="3"/>
  <c r="P128" i="3"/>
  <c r="P48" i="3" s="1"/>
  <c r="O128" i="3"/>
  <c r="O48" i="3" s="1"/>
  <c r="N128" i="3"/>
  <c r="M128" i="3"/>
  <c r="L128" i="3"/>
  <c r="K128" i="3"/>
  <c r="J128" i="3"/>
  <c r="P127" i="3"/>
  <c r="O127" i="3"/>
  <c r="N127" i="3"/>
  <c r="M127" i="3"/>
  <c r="L127" i="3"/>
  <c r="K127" i="3"/>
  <c r="J127" i="3"/>
  <c r="I127" i="3"/>
  <c r="H127" i="3"/>
  <c r="G127" i="3"/>
  <c r="F127" i="3"/>
  <c r="F47" i="3" s="1"/>
  <c r="E127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P125" i="3"/>
  <c r="O125" i="3"/>
  <c r="N125" i="3"/>
  <c r="M125" i="3"/>
  <c r="L125" i="3"/>
  <c r="K125" i="3"/>
  <c r="J125" i="3"/>
  <c r="I125" i="3"/>
  <c r="H125" i="3"/>
  <c r="G125" i="3"/>
  <c r="F125" i="3"/>
  <c r="F45" i="3" s="1"/>
  <c r="E125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P123" i="3"/>
  <c r="O123" i="3"/>
  <c r="N123" i="3"/>
  <c r="M123" i="3"/>
  <c r="L123" i="3"/>
  <c r="K123" i="3"/>
  <c r="J123" i="3"/>
  <c r="I123" i="3"/>
  <c r="H123" i="3"/>
  <c r="G123" i="3"/>
  <c r="F123" i="3"/>
  <c r="F43" i="3" s="1"/>
  <c r="E123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P121" i="3"/>
  <c r="O121" i="3"/>
  <c r="N121" i="3"/>
  <c r="M121" i="3"/>
  <c r="L121" i="3"/>
  <c r="K121" i="3"/>
  <c r="J121" i="3"/>
  <c r="I121" i="3"/>
  <c r="H121" i="3"/>
  <c r="G121" i="3"/>
  <c r="F121" i="3"/>
  <c r="F41" i="3" s="1"/>
  <c r="E121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P119" i="3"/>
  <c r="O119" i="3"/>
  <c r="N119" i="3"/>
  <c r="M119" i="3"/>
  <c r="L119" i="3"/>
  <c r="K119" i="3"/>
  <c r="J119" i="3"/>
  <c r="I119" i="3"/>
  <c r="H119" i="3"/>
  <c r="G119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P117" i="3"/>
  <c r="O117" i="3"/>
  <c r="N117" i="3"/>
  <c r="M117" i="3"/>
  <c r="L117" i="3"/>
  <c r="K117" i="3"/>
  <c r="J117" i="3"/>
  <c r="I117" i="3"/>
  <c r="H117" i="3"/>
  <c r="G117" i="3"/>
  <c r="F117" i="3"/>
  <c r="F37" i="3" s="1"/>
  <c r="E117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P115" i="3"/>
  <c r="O115" i="3"/>
  <c r="N115" i="3"/>
  <c r="M115" i="3"/>
  <c r="L115" i="3"/>
  <c r="K115" i="3"/>
  <c r="J115" i="3"/>
  <c r="I115" i="3"/>
  <c r="H115" i="3"/>
  <c r="G115" i="3"/>
  <c r="F115" i="3"/>
  <c r="F35" i="3" s="1"/>
  <c r="E115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P113" i="3"/>
  <c r="O113" i="3"/>
  <c r="N113" i="3"/>
  <c r="M113" i="3"/>
  <c r="L113" i="3"/>
  <c r="K113" i="3"/>
  <c r="J113" i="3"/>
  <c r="I113" i="3"/>
  <c r="H113" i="3"/>
  <c r="G113" i="3"/>
  <c r="F113" i="3"/>
  <c r="F33" i="3" s="1"/>
  <c r="E113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P111" i="3"/>
  <c r="O111" i="3"/>
  <c r="N111" i="3"/>
  <c r="M111" i="3"/>
  <c r="L111" i="3"/>
  <c r="K111" i="3"/>
  <c r="J111" i="3"/>
  <c r="I111" i="3"/>
  <c r="H111" i="3"/>
  <c r="G111" i="3"/>
  <c r="F111" i="3"/>
  <c r="F31" i="3" s="1"/>
  <c r="E111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P109" i="3"/>
  <c r="O109" i="3"/>
  <c r="N109" i="3"/>
  <c r="M109" i="3"/>
  <c r="L109" i="3"/>
  <c r="K109" i="3"/>
  <c r="J109" i="3"/>
  <c r="I109" i="3"/>
  <c r="H109" i="3"/>
  <c r="G109" i="3"/>
  <c r="F109" i="3"/>
  <c r="F29" i="3" s="1"/>
  <c r="E109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P107" i="3"/>
  <c r="O107" i="3"/>
  <c r="N107" i="3"/>
  <c r="M107" i="3"/>
  <c r="L107" i="3"/>
  <c r="K107" i="3"/>
  <c r="J107" i="3"/>
  <c r="I107" i="3"/>
  <c r="H107" i="3"/>
  <c r="G107" i="3"/>
  <c r="F107" i="3"/>
  <c r="F27" i="3" s="1"/>
  <c r="E107" i="3"/>
  <c r="P106" i="3"/>
  <c r="P26" i="3" s="1"/>
  <c r="O106" i="3"/>
  <c r="N106" i="3"/>
  <c r="M106" i="3"/>
  <c r="L106" i="3"/>
  <c r="K106" i="3"/>
  <c r="J106" i="3"/>
  <c r="J26" i="3" s="1"/>
  <c r="I106" i="3"/>
  <c r="H106" i="3"/>
  <c r="H26" i="3" s="1"/>
  <c r="G106" i="3"/>
  <c r="F106" i="3"/>
  <c r="E106" i="3"/>
  <c r="P105" i="3"/>
  <c r="O105" i="3"/>
  <c r="N105" i="3"/>
  <c r="M105" i="3"/>
  <c r="L105" i="3"/>
  <c r="K105" i="3"/>
  <c r="J105" i="3"/>
  <c r="I105" i="3"/>
  <c r="H105" i="3"/>
  <c r="G105" i="3"/>
  <c r="F105" i="3"/>
  <c r="F25" i="3" s="1"/>
  <c r="E105" i="3"/>
  <c r="P104" i="3"/>
  <c r="P24" i="3" s="1"/>
  <c r="O104" i="3"/>
  <c r="N104" i="3"/>
  <c r="M104" i="3"/>
  <c r="L104" i="3"/>
  <c r="K104" i="3"/>
  <c r="J104" i="3"/>
  <c r="J24" i="3" s="1"/>
  <c r="I104" i="3"/>
  <c r="H104" i="3"/>
  <c r="H24" i="3" s="1"/>
  <c r="G104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P100" i="3"/>
  <c r="O100" i="3"/>
  <c r="N100" i="3"/>
  <c r="M100" i="3"/>
  <c r="L100" i="3"/>
  <c r="K100" i="3"/>
  <c r="J100" i="3"/>
  <c r="I100" i="3"/>
  <c r="H100" i="3"/>
  <c r="G100" i="3"/>
  <c r="F100" i="3"/>
  <c r="F20" i="3" s="1"/>
  <c r="E100" i="3"/>
  <c r="P99" i="3"/>
  <c r="O99" i="3"/>
  <c r="N99" i="3"/>
  <c r="M99" i="3"/>
  <c r="L99" i="3"/>
  <c r="K99" i="3"/>
  <c r="J99" i="3"/>
  <c r="I99" i="3"/>
  <c r="H99" i="3"/>
  <c r="G99" i="3"/>
  <c r="F99" i="3"/>
  <c r="E99" i="3"/>
  <c r="P98" i="3"/>
  <c r="O98" i="3"/>
  <c r="N98" i="3"/>
  <c r="M98" i="3"/>
  <c r="L98" i="3"/>
  <c r="K98" i="3"/>
  <c r="J98" i="3"/>
  <c r="I98" i="3"/>
  <c r="H98" i="3"/>
  <c r="G98" i="3"/>
  <c r="F98" i="3"/>
  <c r="F18" i="3" s="1"/>
  <c r="E98" i="3"/>
  <c r="P97" i="3"/>
  <c r="O97" i="3"/>
  <c r="N97" i="3"/>
  <c r="M97" i="3"/>
  <c r="L97" i="3"/>
  <c r="K97" i="3"/>
  <c r="J97" i="3"/>
  <c r="I97" i="3"/>
  <c r="H97" i="3"/>
  <c r="G97" i="3"/>
  <c r="F97" i="3"/>
  <c r="E97" i="3"/>
  <c r="P96" i="3"/>
  <c r="O96" i="3"/>
  <c r="N96" i="3"/>
  <c r="M96" i="3"/>
  <c r="L96" i="3"/>
  <c r="K96" i="3"/>
  <c r="J96" i="3"/>
  <c r="I96" i="3"/>
  <c r="H96" i="3"/>
  <c r="G96" i="3"/>
  <c r="F96" i="3"/>
  <c r="F16" i="3" s="1"/>
  <c r="E96" i="3"/>
  <c r="P95" i="3"/>
  <c r="P15" i="3" s="1"/>
  <c r="O95" i="3"/>
  <c r="N95" i="3"/>
  <c r="M95" i="3"/>
  <c r="L95" i="3"/>
  <c r="L15" i="3" s="1"/>
  <c r="K95" i="3"/>
  <c r="J95" i="3"/>
  <c r="J15" i="3" s="1"/>
  <c r="I95" i="3"/>
  <c r="H95" i="3"/>
  <c r="G95" i="3"/>
  <c r="F95" i="3"/>
  <c r="E95" i="3"/>
  <c r="P94" i="3"/>
  <c r="O94" i="3"/>
  <c r="N94" i="3"/>
  <c r="M94" i="3"/>
  <c r="L94" i="3"/>
  <c r="K94" i="3"/>
  <c r="J94" i="3"/>
  <c r="I94" i="3"/>
  <c r="H94" i="3"/>
  <c r="G94" i="3"/>
  <c r="F94" i="3"/>
  <c r="F14" i="3" s="1"/>
  <c r="E94" i="3"/>
  <c r="P93" i="3"/>
  <c r="O93" i="3"/>
  <c r="N93" i="3"/>
  <c r="M93" i="3"/>
  <c r="L93" i="3"/>
  <c r="K93" i="3"/>
  <c r="J93" i="3"/>
  <c r="I93" i="3"/>
  <c r="H93" i="3"/>
  <c r="G93" i="3"/>
  <c r="F93" i="3"/>
  <c r="E93" i="3"/>
  <c r="P92" i="3"/>
  <c r="O92" i="3"/>
  <c r="N92" i="3"/>
  <c r="M92" i="3"/>
  <c r="L92" i="3"/>
  <c r="K92" i="3"/>
  <c r="J92" i="3"/>
  <c r="I92" i="3"/>
  <c r="H92" i="3"/>
  <c r="G92" i="3"/>
  <c r="F92" i="3"/>
  <c r="F12" i="3" s="1"/>
  <c r="E92" i="3"/>
  <c r="P91" i="3"/>
  <c r="O91" i="3"/>
  <c r="N91" i="3"/>
  <c r="M91" i="3"/>
  <c r="L91" i="3"/>
  <c r="K91" i="3"/>
  <c r="J91" i="3"/>
  <c r="I91" i="3"/>
  <c r="H91" i="3"/>
  <c r="G91" i="3"/>
  <c r="F91" i="3"/>
  <c r="E91" i="3"/>
  <c r="P90" i="3"/>
  <c r="O90" i="3"/>
  <c r="N90" i="3"/>
  <c r="M90" i="3"/>
  <c r="L90" i="3"/>
  <c r="K90" i="3"/>
  <c r="J90" i="3"/>
  <c r="I90" i="3"/>
  <c r="H90" i="3"/>
  <c r="G90" i="3"/>
  <c r="F90" i="3"/>
  <c r="F10" i="3" s="1"/>
  <c r="E90" i="3"/>
  <c r="P89" i="3"/>
  <c r="O89" i="3"/>
  <c r="N89" i="3"/>
  <c r="M89" i="3"/>
  <c r="L89" i="3"/>
  <c r="K89" i="3"/>
  <c r="J89" i="3"/>
  <c r="I89" i="3"/>
  <c r="H89" i="3"/>
  <c r="G89" i="3"/>
  <c r="F89" i="3"/>
  <c r="E89" i="3"/>
  <c r="P88" i="3"/>
  <c r="O88" i="3"/>
  <c r="N88" i="3"/>
  <c r="M88" i="3"/>
  <c r="L88" i="3"/>
  <c r="K88" i="3"/>
  <c r="J88" i="3"/>
  <c r="I88" i="3"/>
  <c r="H88" i="3"/>
  <c r="G88" i="3"/>
  <c r="F88" i="3"/>
  <c r="E88" i="3"/>
  <c r="P87" i="3"/>
  <c r="O87" i="3"/>
  <c r="N87" i="3"/>
  <c r="M87" i="3"/>
  <c r="L87" i="3"/>
  <c r="K87" i="3"/>
  <c r="J87" i="3"/>
  <c r="I87" i="3"/>
  <c r="H87" i="3"/>
  <c r="G87" i="3"/>
  <c r="F87" i="3"/>
  <c r="E87" i="3"/>
  <c r="P86" i="3"/>
  <c r="O86" i="3"/>
  <c r="N86" i="3"/>
  <c r="M86" i="3"/>
  <c r="L86" i="3"/>
  <c r="K86" i="3"/>
  <c r="J86" i="3"/>
  <c r="I86" i="3"/>
  <c r="H86" i="3"/>
  <c r="G86" i="3"/>
  <c r="F86" i="3"/>
  <c r="E86" i="3"/>
  <c r="P85" i="3"/>
  <c r="O85" i="3"/>
  <c r="N85" i="3"/>
  <c r="M85" i="3"/>
  <c r="L85" i="3"/>
  <c r="K85" i="3"/>
  <c r="J85" i="3"/>
  <c r="I85" i="3"/>
  <c r="H85" i="3"/>
  <c r="G85" i="3"/>
  <c r="F85" i="3"/>
  <c r="E85" i="3"/>
  <c r="R78" i="3"/>
  <c r="O76" i="3"/>
  <c r="N76" i="3"/>
  <c r="M76" i="3"/>
  <c r="L76" i="3"/>
  <c r="K76" i="3"/>
  <c r="J76" i="3"/>
  <c r="I76" i="3"/>
  <c r="H76" i="3"/>
  <c r="G76" i="3"/>
  <c r="F76" i="3"/>
  <c r="E76" i="3"/>
  <c r="O75" i="3"/>
  <c r="N75" i="3"/>
  <c r="M75" i="3"/>
  <c r="L75" i="3"/>
  <c r="K75" i="3"/>
  <c r="J75" i="3"/>
  <c r="I75" i="3"/>
  <c r="H75" i="3"/>
  <c r="G75" i="3"/>
  <c r="F75" i="3"/>
  <c r="E75" i="3"/>
  <c r="O74" i="3"/>
  <c r="N74" i="3"/>
  <c r="M74" i="3"/>
  <c r="L74" i="3"/>
  <c r="K74" i="3"/>
  <c r="J74" i="3"/>
  <c r="I74" i="3"/>
  <c r="H74" i="3"/>
  <c r="G74" i="3"/>
  <c r="F74" i="3"/>
  <c r="E74" i="3"/>
  <c r="O73" i="3"/>
  <c r="N73" i="3"/>
  <c r="M73" i="3"/>
  <c r="L73" i="3"/>
  <c r="K73" i="3"/>
  <c r="J73" i="3"/>
  <c r="I73" i="3"/>
  <c r="H73" i="3"/>
  <c r="G73" i="3"/>
  <c r="F73" i="3"/>
  <c r="E73" i="3"/>
  <c r="O72" i="3"/>
  <c r="N72" i="3"/>
  <c r="M72" i="3"/>
  <c r="L72" i="3"/>
  <c r="K72" i="3"/>
  <c r="J72" i="3"/>
  <c r="I72" i="3"/>
  <c r="H72" i="3"/>
  <c r="G72" i="3"/>
  <c r="F72" i="3"/>
  <c r="E72" i="3"/>
  <c r="O71" i="3"/>
  <c r="N71" i="3"/>
  <c r="M71" i="3"/>
  <c r="L71" i="3"/>
  <c r="K71" i="3"/>
  <c r="J71" i="3"/>
  <c r="I71" i="3"/>
  <c r="H71" i="3"/>
  <c r="G71" i="3"/>
  <c r="F71" i="3"/>
  <c r="E71" i="3"/>
  <c r="Y70" i="3"/>
  <c r="P77" i="3" s="1"/>
  <c r="O70" i="3"/>
  <c r="N70" i="3"/>
  <c r="M70" i="3"/>
  <c r="L70" i="3"/>
  <c r="K70" i="3"/>
  <c r="I70" i="3"/>
  <c r="G70" i="3"/>
  <c r="F70" i="3"/>
  <c r="E70" i="3"/>
  <c r="Y69" i="3"/>
  <c r="O77" i="3" s="1"/>
  <c r="O69" i="3"/>
  <c r="N69" i="3"/>
  <c r="M69" i="3"/>
  <c r="L69" i="3"/>
  <c r="K69" i="3"/>
  <c r="J69" i="3"/>
  <c r="I69" i="3"/>
  <c r="H69" i="3"/>
  <c r="G69" i="3"/>
  <c r="F69" i="3"/>
  <c r="E69" i="3"/>
  <c r="Y68" i="3"/>
  <c r="N77" i="3" s="1"/>
  <c r="F68" i="3"/>
  <c r="E68" i="3"/>
  <c r="Y67" i="3"/>
  <c r="M77" i="3" s="1"/>
  <c r="L67" i="3"/>
  <c r="K67" i="3"/>
  <c r="J67" i="3"/>
  <c r="I67" i="3"/>
  <c r="H67" i="3"/>
  <c r="G67" i="3"/>
  <c r="F67" i="3"/>
  <c r="E67" i="3"/>
  <c r="Y66" i="3"/>
  <c r="L77" i="3" s="1"/>
  <c r="F66" i="3"/>
  <c r="E66" i="3"/>
  <c r="Y65" i="3"/>
  <c r="K77" i="3" s="1"/>
  <c r="F65" i="3"/>
  <c r="E65" i="3"/>
  <c r="Y64" i="3"/>
  <c r="J77" i="3" s="1"/>
  <c r="L64" i="3"/>
  <c r="K64" i="3"/>
  <c r="J64" i="3"/>
  <c r="I64" i="3"/>
  <c r="H64" i="3"/>
  <c r="G64" i="3"/>
  <c r="F64" i="3"/>
  <c r="E64" i="3"/>
  <c r="Y63" i="3"/>
  <c r="I77" i="3" s="1"/>
  <c r="L63" i="3"/>
  <c r="K63" i="3"/>
  <c r="J63" i="3"/>
  <c r="I63" i="3"/>
  <c r="H63" i="3"/>
  <c r="G63" i="3"/>
  <c r="F63" i="3"/>
  <c r="E63" i="3"/>
  <c r="Y62" i="3"/>
  <c r="H77" i="3" s="1"/>
  <c r="L62" i="3"/>
  <c r="K62" i="3"/>
  <c r="J62" i="3"/>
  <c r="I62" i="3"/>
  <c r="H62" i="3"/>
  <c r="G62" i="3"/>
  <c r="F62" i="3"/>
  <c r="E62" i="3"/>
  <c r="Y61" i="3"/>
  <c r="G77" i="3" s="1"/>
  <c r="F61" i="3"/>
  <c r="E61" i="3"/>
  <c r="Y60" i="3"/>
  <c r="F60" i="3"/>
  <c r="E60" i="3"/>
  <c r="Y59" i="3"/>
  <c r="F59" i="3"/>
  <c r="E59" i="3"/>
  <c r="L58" i="3"/>
  <c r="K58" i="3"/>
  <c r="J58" i="3"/>
  <c r="I58" i="3"/>
  <c r="H58" i="3"/>
  <c r="G58" i="3"/>
  <c r="F58" i="3"/>
  <c r="E58" i="3"/>
  <c r="L57" i="3"/>
  <c r="K57" i="3"/>
  <c r="J57" i="3"/>
  <c r="I57" i="3"/>
  <c r="H57" i="3"/>
  <c r="G57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N48" i="3"/>
  <c r="M48" i="3"/>
  <c r="L48" i="3"/>
  <c r="K48" i="3"/>
  <c r="J48" i="3"/>
  <c r="I48" i="3"/>
  <c r="H48" i="3"/>
  <c r="G48" i="3"/>
  <c r="F48" i="3"/>
  <c r="E48" i="3"/>
  <c r="E47" i="3"/>
  <c r="F46" i="3"/>
  <c r="E46" i="3"/>
  <c r="E45" i="3"/>
  <c r="F44" i="3"/>
  <c r="E44" i="3"/>
  <c r="E43" i="3"/>
  <c r="F42" i="3"/>
  <c r="E42" i="3"/>
  <c r="E41" i="3"/>
  <c r="F40" i="3"/>
  <c r="E40" i="3"/>
  <c r="F39" i="3"/>
  <c r="E39" i="3"/>
  <c r="F38" i="3"/>
  <c r="E38" i="3"/>
  <c r="E37" i="3"/>
  <c r="F36" i="3"/>
  <c r="E36" i="3"/>
  <c r="E35" i="3"/>
  <c r="F34" i="3"/>
  <c r="E34" i="3"/>
  <c r="E33" i="3"/>
  <c r="F32" i="3"/>
  <c r="E32" i="3"/>
  <c r="E31" i="3"/>
  <c r="F30" i="3"/>
  <c r="E30" i="3"/>
  <c r="E29" i="3"/>
  <c r="F28" i="3"/>
  <c r="E28" i="3"/>
  <c r="E27" i="3"/>
  <c r="O26" i="3"/>
  <c r="N26" i="3"/>
  <c r="M26" i="3"/>
  <c r="L26" i="3"/>
  <c r="K26" i="3"/>
  <c r="I26" i="3"/>
  <c r="G26" i="3"/>
  <c r="F26" i="3"/>
  <c r="E26" i="3"/>
  <c r="E25" i="3"/>
  <c r="O24" i="3"/>
  <c r="N24" i="3"/>
  <c r="M24" i="3"/>
  <c r="L24" i="3"/>
  <c r="K24" i="3"/>
  <c r="I24" i="3"/>
  <c r="G24" i="3"/>
  <c r="F24" i="3"/>
  <c r="E24" i="3"/>
  <c r="F23" i="3"/>
  <c r="E23" i="3"/>
  <c r="F22" i="3"/>
  <c r="E22" i="3"/>
  <c r="F21" i="3"/>
  <c r="E21" i="3"/>
  <c r="E20" i="3"/>
  <c r="AD19" i="3"/>
  <c r="AC19" i="3"/>
  <c r="AB19" i="3"/>
  <c r="Z19" i="3"/>
  <c r="Y19" i="3"/>
  <c r="F19" i="3"/>
  <c r="E19" i="3"/>
  <c r="AD18" i="3"/>
  <c r="AC18" i="3"/>
  <c r="AB18" i="3"/>
  <c r="Z18" i="3"/>
  <c r="Y18" i="3"/>
  <c r="E18" i="3"/>
  <c r="Z17" i="3"/>
  <c r="Y17" i="3"/>
  <c r="F17" i="3"/>
  <c r="E17" i="3"/>
  <c r="AD16" i="3"/>
  <c r="AC16" i="3"/>
  <c r="AB16" i="3"/>
  <c r="Z16" i="3"/>
  <c r="Y16" i="3"/>
  <c r="E16" i="3"/>
  <c r="AD15" i="3"/>
  <c r="AC15" i="3"/>
  <c r="AB15" i="3"/>
  <c r="Z15" i="3"/>
  <c r="Y15" i="3"/>
  <c r="O15" i="3"/>
  <c r="N15" i="3"/>
  <c r="M15" i="3"/>
  <c r="K15" i="3"/>
  <c r="I15" i="3"/>
  <c r="H15" i="3"/>
  <c r="G15" i="3"/>
  <c r="F15" i="3"/>
  <c r="E15" i="3"/>
  <c r="AD14" i="3"/>
  <c r="AC14" i="3"/>
  <c r="AB14" i="3"/>
  <c r="Z14" i="3"/>
  <c r="Y14" i="3"/>
  <c r="E14" i="3"/>
  <c r="AD13" i="3"/>
  <c r="AC13" i="3"/>
  <c r="AB13" i="3"/>
  <c r="Z13" i="3"/>
  <c r="Y13" i="3"/>
  <c r="F13" i="3"/>
  <c r="E13" i="3"/>
  <c r="AD12" i="3"/>
  <c r="AC12" i="3"/>
  <c r="AB12" i="3"/>
  <c r="Z12" i="3"/>
  <c r="Y12" i="3"/>
  <c r="E12" i="3"/>
  <c r="AD11" i="3"/>
  <c r="AC11" i="3"/>
  <c r="AB11" i="3"/>
  <c r="Z11" i="3"/>
  <c r="Y11" i="3"/>
  <c r="F11" i="3"/>
  <c r="E11" i="3"/>
  <c r="AD10" i="3"/>
  <c r="AC10" i="3"/>
  <c r="AB10" i="3"/>
  <c r="Z10" i="3"/>
  <c r="Y10" i="3"/>
  <c r="E10" i="3"/>
  <c r="AD9" i="3"/>
  <c r="AC9" i="3"/>
  <c r="AB9" i="3"/>
  <c r="Z9" i="3"/>
  <c r="Y9" i="3"/>
  <c r="F9" i="3"/>
  <c r="E9" i="3"/>
  <c r="AD8" i="3"/>
  <c r="AC8" i="3"/>
  <c r="AB8" i="3"/>
  <c r="Z8" i="3"/>
  <c r="Y8" i="3"/>
  <c r="F8" i="3"/>
  <c r="E8" i="3"/>
  <c r="AD7" i="3"/>
  <c r="AC7" i="3"/>
  <c r="AB7" i="3"/>
  <c r="Z7" i="3"/>
  <c r="Y7" i="3"/>
  <c r="F7" i="3"/>
  <c r="E7" i="3"/>
  <c r="AD6" i="3"/>
  <c r="AC6" i="3"/>
  <c r="AB6" i="3"/>
  <c r="Z6" i="3"/>
  <c r="Y6" i="3"/>
  <c r="E6" i="3"/>
  <c r="AD5" i="3"/>
  <c r="AC5" i="3"/>
  <c r="AB5" i="3"/>
  <c r="Z5" i="3"/>
  <c r="Y5" i="3"/>
  <c r="F5" i="3"/>
  <c r="E5" i="3"/>
  <c r="AD4" i="3"/>
  <c r="AC4" i="3"/>
  <c r="Z4" i="3"/>
  <c r="Y4" i="3"/>
  <c r="E78" i="1"/>
  <c r="U5" i="1"/>
  <c r="E5" i="1"/>
  <c r="T74" i="1"/>
  <c r="S74" i="1"/>
  <c r="R74" i="1"/>
  <c r="Q74" i="1"/>
  <c r="P74" i="1"/>
  <c r="O74" i="1"/>
  <c r="N74" i="1"/>
  <c r="M74" i="1"/>
  <c r="L74" i="1"/>
  <c r="K74" i="1"/>
  <c r="T73" i="1"/>
  <c r="S73" i="1"/>
  <c r="R73" i="1"/>
  <c r="Q73" i="1"/>
  <c r="P73" i="1"/>
  <c r="O73" i="1"/>
  <c r="N73" i="1"/>
  <c r="M73" i="1"/>
  <c r="L73" i="1"/>
  <c r="K73" i="1"/>
  <c r="T72" i="1"/>
  <c r="S72" i="1"/>
  <c r="R72" i="1"/>
  <c r="Q72" i="1"/>
  <c r="P72" i="1"/>
  <c r="O72" i="1"/>
  <c r="N72" i="1"/>
  <c r="M72" i="1"/>
  <c r="L72" i="1"/>
  <c r="K72" i="1"/>
  <c r="T71" i="1"/>
  <c r="S71" i="1"/>
  <c r="R71" i="1"/>
  <c r="Q71" i="1"/>
  <c r="P71" i="1"/>
  <c r="O71" i="1"/>
  <c r="N71" i="1"/>
  <c r="M71" i="1"/>
  <c r="L71" i="1"/>
  <c r="K71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S67" i="1"/>
  <c r="Q67" i="1"/>
  <c r="O67" i="1"/>
  <c r="M67" i="1"/>
  <c r="L67" i="1"/>
  <c r="K67" i="1"/>
  <c r="J67" i="1"/>
  <c r="I67" i="1"/>
  <c r="H67" i="1"/>
  <c r="G67" i="1"/>
  <c r="S64" i="1"/>
  <c r="S63" i="1"/>
  <c r="S62" i="1"/>
  <c r="Q64" i="1"/>
  <c r="Q63" i="1"/>
  <c r="Q62" i="1"/>
  <c r="O64" i="1"/>
  <c r="O63" i="1"/>
  <c r="O62" i="1"/>
  <c r="M64" i="1"/>
  <c r="L64" i="1"/>
  <c r="K64" i="1"/>
  <c r="J64" i="1"/>
  <c r="I64" i="1"/>
  <c r="H64" i="1"/>
  <c r="M63" i="1"/>
  <c r="L63" i="1"/>
  <c r="K63" i="1"/>
  <c r="J63" i="1"/>
  <c r="I63" i="1"/>
  <c r="H63" i="1"/>
  <c r="M62" i="1"/>
  <c r="L62" i="1"/>
  <c r="K62" i="1"/>
  <c r="J62" i="1"/>
  <c r="I62" i="1"/>
  <c r="H62" i="1"/>
  <c r="G64" i="1"/>
  <c r="G63" i="1"/>
  <c r="G62" i="1"/>
  <c r="S58" i="1"/>
  <c r="S57" i="1"/>
  <c r="Q58" i="1"/>
  <c r="Q57" i="1"/>
  <c r="O58" i="1"/>
  <c r="O57" i="1"/>
  <c r="M58" i="1"/>
  <c r="L58" i="1"/>
  <c r="K58" i="1"/>
  <c r="J58" i="1"/>
  <c r="I58" i="1"/>
  <c r="H58" i="1"/>
  <c r="G58" i="1"/>
  <c r="M57" i="1"/>
  <c r="L57" i="1"/>
  <c r="K57" i="1"/>
  <c r="J57" i="1"/>
  <c r="I57" i="1"/>
  <c r="H57" i="1"/>
  <c r="G57" i="1"/>
  <c r="X78" i="1"/>
  <c r="W78" i="1"/>
  <c r="M52" i="1"/>
  <c r="O224" i="1"/>
  <c r="T150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Q138" i="3" l="1"/>
  <c r="P22" i="3"/>
  <c r="P7" i="3"/>
  <c r="J157" i="3"/>
  <c r="Q86" i="3"/>
  <c r="Q88" i="3"/>
  <c r="Q129" i="3"/>
  <c r="Q136" i="3"/>
  <c r="Q142" i="3"/>
  <c r="Q147" i="3"/>
  <c r="Q77" i="3"/>
  <c r="Q92" i="3"/>
  <c r="Q94" i="3"/>
  <c r="Q96" i="3"/>
  <c r="Q98" i="3"/>
  <c r="Q100" i="3"/>
  <c r="Q102" i="3"/>
  <c r="Q123" i="3"/>
  <c r="Q127" i="3"/>
  <c r="Q141" i="3"/>
  <c r="Q150" i="3"/>
  <c r="Q72" i="3"/>
  <c r="Q74" i="3"/>
  <c r="Q76" i="3"/>
  <c r="Q105" i="3"/>
  <c r="Q107" i="3"/>
  <c r="Q111" i="3"/>
  <c r="Q113" i="3"/>
  <c r="Q115" i="3"/>
  <c r="Q117" i="3"/>
  <c r="Q119" i="3"/>
  <c r="Q135" i="3"/>
  <c r="Q143" i="3"/>
  <c r="E78" i="3"/>
  <c r="F6" i="3"/>
  <c r="Q130" i="3"/>
  <c r="Q137" i="3"/>
  <c r="Q148" i="3"/>
  <c r="M157" i="3"/>
  <c r="Q97" i="3"/>
  <c r="Q101" i="3"/>
  <c r="Q120" i="3"/>
  <c r="Q122" i="3"/>
  <c r="Q124" i="3"/>
  <c r="Q126" i="3"/>
  <c r="Q139" i="3"/>
  <c r="Q145" i="3"/>
  <c r="Q132" i="3"/>
  <c r="Q15" i="3"/>
  <c r="Q24" i="3"/>
  <c r="Q71" i="3"/>
  <c r="F157" i="3"/>
  <c r="Q131" i="3"/>
  <c r="Q134" i="3"/>
  <c r="Q48" i="3"/>
  <c r="Q69" i="3"/>
  <c r="O157" i="3"/>
  <c r="Q106" i="3"/>
  <c r="Q110" i="3"/>
  <c r="Q114" i="3"/>
  <c r="Q118" i="3"/>
  <c r="Q133" i="3"/>
  <c r="Q140" i="3"/>
  <c r="Q144" i="3"/>
  <c r="Q146" i="3"/>
  <c r="Q128" i="3"/>
  <c r="F78" i="3"/>
  <c r="I227" i="3"/>
  <c r="I68" i="3" s="1"/>
  <c r="N227" i="3"/>
  <c r="N68" i="3" s="1"/>
  <c r="H227" i="3"/>
  <c r="H68" i="3" s="1"/>
  <c r="M192" i="3"/>
  <c r="M33" i="3" s="1"/>
  <c r="G227" i="3"/>
  <c r="M227" i="3"/>
  <c r="M68" i="3" s="1"/>
  <c r="P192" i="3"/>
  <c r="P33" i="3" s="1"/>
  <c r="L192" i="3"/>
  <c r="L33" i="3" s="1"/>
  <c r="P227" i="3"/>
  <c r="P68" i="3" s="1"/>
  <c r="L227" i="3"/>
  <c r="L68" i="3" s="1"/>
  <c r="O192" i="3"/>
  <c r="O33" i="3" s="1"/>
  <c r="J192" i="3"/>
  <c r="J33" i="3" s="1"/>
  <c r="O227" i="3"/>
  <c r="O68" i="3" s="1"/>
  <c r="J227" i="3"/>
  <c r="J68" i="3" s="1"/>
  <c r="N192" i="3"/>
  <c r="N33" i="3" s="1"/>
  <c r="H192" i="3"/>
  <c r="H33" i="3" s="1"/>
  <c r="K227" i="3"/>
  <c r="K68" i="3" s="1"/>
  <c r="K192" i="3"/>
  <c r="K33" i="3" s="1"/>
  <c r="I192" i="3"/>
  <c r="I33" i="3" s="1"/>
  <c r="G192" i="3"/>
  <c r="K165" i="3"/>
  <c r="K6" i="3" s="1"/>
  <c r="P177" i="3"/>
  <c r="P18" i="3" s="1"/>
  <c r="L177" i="3"/>
  <c r="L18" i="3" s="1"/>
  <c r="O165" i="3"/>
  <c r="O6" i="3" s="1"/>
  <c r="J165" i="3"/>
  <c r="J6" i="3" s="1"/>
  <c r="K177" i="3"/>
  <c r="K18" i="3" s="1"/>
  <c r="I165" i="3"/>
  <c r="I6" i="3" s="1"/>
  <c r="O177" i="3"/>
  <c r="O18" i="3" s="1"/>
  <c r="J177" i="3"/>
  <c r="J18" i="3" s="1"/>
  <c r="N165" i="3"/>
  <c r="N6" i="3" s="1"/>
  <c r="H165" i="3"/>
  <c r="H6" i="3" s="1"/>
  <c r="I177" i="3"/>
  <c r="I18" i="3" s="1"/>
  <c r="G165" i="3"/>
  <c r="N177" i="3"/>
  <c r="N18" i="3" s="1"/>
  <c r="H177" i="3"/>
  <c r="H18" i="3" s="1"/>
  <c r="M165" i="3"/>
  <c r="M6" i="3" s="1"/>
  <c r="G177" i="3"/>
  <c r="M177" i="3"/>
  <c r="M18" i="3" s="1"/>
  <c r="P165" i="3"/>
  <c r="P6" i="3" s="1"/>
  <c r="L165" i="3"/>
  <c r="L6" i="3" s="1"/>
  <c r="G206" i="3"/>
  <c r="G204" i="3"/>
  <c r="G203" i="3"/>
  <c r="G199" i="3"/>
  <c r="G197" i="3"/>
  <c r="G196" i="3"/>
  <c r="M206" i="3"/>
  <c r="M47" i="3" s="1"/>
  <c r="M204" i="3"/>
  <c r="M45" i="3" s="1"/>
  <c r="M203" i="3"/>
  <c r="M44" i="3" s="1"/>
  <c r="M199" i="3"/>
  <c r="M40" i="3" s="1"/>
  <c r="M197" i="3"/>
  <c r="M38" i="3" s="1"/>
  <c r="M196" i="3"/>
  <c r="M37" i="3" s="1"/>
  <c r="M193" i="3"/>
  <c r="M34" i="3" s="1"/>
  <c r="P206" i="3"/>
  <c r="P47" i="3" s="1"/>
  <c r="L206" i="3"/>
  <c r="L47" i="3" s="1"/>
  <c r="P204" i="3"/>
  <c r="P45" i="3" s="1"/>
  <c r="L204" i="3"/>
  <c r="L45" i="3" s="1"/>
  <c r="P203" i="3"/>
  <c r="P44" i="3" s="1"/>
  <c r="L203" i="3"/>
  <c r="L44" i="3" s="1"/>
  <c r="P199" i="3"/>
  <c r="P40" i="3" s="1"/>
  <c r="L199" i="3"/>
  <c r="L40" i="3" s="1"/>
  <c r="P197" i="3"/>
  <c r="P38" i="3" s="1"/>
  <c r="L197" i="3"/>
  <c r="L38" i="3" s="1"/>
  <c r="P196" i="3"/>
  <c r="P37" i="3" s="1"/>
  <c r="L196" i="3"/>
  <c r="L37" i="3" s="1"/>
  <c r="P193" i="3"/>
  <c r="P34" i="3" s="1"/>
  <c r="L193" i="3"/>
  <c r="L34" i="3" s="1"/>
  <c r="P190" i="3"/>
  <c r="P31" i="3" s="1"/>
  <c r="L190" i="3"/>
  <c r="L31" i="3" s="1"/>
  <c r="P187" i="3"/>
  <c r="P28" i="3" s="1"/>
  <c r="L187" i="3"/>
  <c r="L28" i="3" s="1"/>
  <c r="P186" i="3"/>
  <c r="P27" i="3" s="1"/>
  <c r="L186" i="3"/>
  <c r="L27" i="3" s="1"/>
  <c r="O184" i="3"/>
  <c r="O25" i="3" s="1"/>
  <c r="J184" i="3"/>
  <c r="J25" i="3" s="1"/>
  <c r="P181" i="3"/>
  <c r="L181" i="3"/>
  <c r="L22" i="3" s="1"/>
  <c r="P180" i="3"/>
  <c r="P21" i="3" s="1"/>
  <c r="L180" i="3"/>
  <c r="L21" i="3" s="1"/>
  <c r="P179" i="3"/>
  <c r="P20" i="3" s="1"/>
  <c r="L179" i="3"/>
  <c r="L20" i="3" s="1"/>
  <c r="K206" i="3"/>
  <c r="K47" i="3" s="1"/>
  <c r="K204" i="3"/>
  <c r="K45" i="3" s="1"/>
  <c r="K203" i="3"/>
  <c r="K44" i="3" s="1"/>
  <c r="K199" i="3"/>
  <c r="K40" i="3" s="1"/>
  <c r="O206" i="3"/>
  <c r="O47" i="3" s="1"/>
  <c r="J206" i="3"/>
  <c r="J47" i="3" s="1"/>
  <c r="O204" i="3"/>
  <c r="O45" i="3" s="1"/>
  <c r="J204" i="3"/>
  <c r="J45" i="3" s="1"/>
  <c r="O203" i="3"/>
  <c r="O44" i="3" s="1"/>
  <c r="J203" i="3"/>
  <c r="J44" i="3" s="1"/>
  <c r="O199" i="3"/>
  <c r="O40" i="3" s="1"/>
  <c r="J199" i="3"/>
  <c r="J40" i="3" s="1"/>
  <c r="O197" i="3"/>
  <c r="O38" i="3" s="1"/>
  <c r="J197" i="3"/>
  <c r="J38" i="3" s="1"/>
  <c r="O196" i="3"/>
  <c r="O37" i="3" s="1"/>
  <c r="J196" i="3"/>
  <c r="J37" i="3" s="1"/>
  <c r="O193" i="3"/>
  <c r="O34" i="3" s="1"/>
  <c r="J193" i="3"/>
  <c r="J34" i="3" s="1"/>
  <c r="O190" i="3"/>
  <c r="O31" i="3" s="1"/>
  <c r="J190" i="3"/>
  <c r="J31" i="3" s="1"/>
  <c r="O187" i="3"/>
  <c r="O28" i="3" s="1"/>
  <c r="J187" i="3"/>
  <c r="J28" i="3" s="1"/>
  <c r="O186" i="3"/>
  <c r="O27" i="3" s="1"/>
  <c r="J186" i="3"/>
  <c r="J27" i="3" s="1"/>
  <c r="N184" i="3"/>
  <c r="N25" i="3" s="1"/>
  <c r="H184" i="3"/>
  <c r="H25" i="3" s="1"/>
  <c r="O181" i="3"/>
  <c r="O22" i="3" s="1"/>
  <c r="J181" i="3"/>
  <c r="J22" i="3" s="1"/>
  <c r="O180" i="3"/>
  <c r="O21" i="3" s="1"/>
  <c r="J180" i="3"/>
  <c r="J21" i="3" s="1"/>
  <c r="O179" i="3"/>
  <c r="O20" i="3" s="1"/>
  <c r="J179" i="3"/>
  <c r="J20" i="3" s="1"/>
  <c r="N206" i="3"/>
  <c r="N47" i="3" s="1"/>
  <c r="H206" i="3"/>
  <c r="H47" i="3" s="1"/>
  <c r="N204" i="3"/>
  <c r="N45" i="3" s="1"/>
  <c r="H204" i="3"/>
  <c r="H45" i="3" s="1"/>
  <c r="N203" i="3"/>
  <c r="N44" i="3" s="1"/>
  <c r="H203" i="3"/>
  <c r="H44" i="3" s="1"/>
  <c r="N199" i="3"/>
  <c r="N40" i="3" s="1"/>
  <c r="H199" i="3"/>
  <c r="H40" i="3" s="1"/>
  <c r="N197" i="3"/>
  <c r="N38" i="3" s="1"/>
  <c r="H197" i="3"/>
  <c r="H38" i="3" s="1"/>
  <c r="N196" i="3"/>
  <c r="N37" i="3" s="1"/>
  <c r="H196" i="3"/>
  <c r="H37" i="3" s="1"/>
  <c r="N193" i="3"/>
  <c r="N34" i="3" s="1"/>
  <c r="H193" i="3"/>
  <c r="H34" i="3" s="1"/>
  <c r="N190" i="3"/>
  <c r="N31" i="3" s="1"/>
  <c r="H190" i="3"/>
  <c r="H31" i="3" s="1"/>
  <c r="N187" i="3"/>
  <c r="N28" i="3" s="1"/>
  <c r="H187" i="3"/>
  <c r="H28" i="3" s="1"/>
  <c r="N186" i="3"/>
  <c r="N27" i="3" s="1"/>
  <c r="H186" i="3"/>
  <c r="H27" i="3" s="1"/>
  <c r="M184" i="3"/>
  <c r="M25" i="3" s="1"/>
  <c r="N181" i="3"/>
  <c r="N22" i="3" s="1"/>
  <c r="H181" i="3"/>
  <c r="H22" i="3" s="1"/>
  <c r="N180" i="3"/>
  <c r="N21" i="3" s="1"/>
  <c r="H180" i="3"/>
  <c r="H21" i="3" s="1"/>
  <c r="N179" i="3"/>
  <c r="N20" i="3" s="1"/>
  <c r="H179" i="3"/>
  <c r="H20" i="3" s="1"/>
  <c r="K196" i="3"/>
  <c r="K37" i="3" s="1"/>
  <c r="M187" i="3"/>
  <c r="M28" i="3" s="1"/>
  <c r="M181" i="3"/>
  <c r="M22" i="3" s="1"/>
  <c r="G179" i="3"/>
  <c r="K169" i="3"/>
  <c r="K10" i="3" s="1"/>
  <c r="K166" i="3"/>
  <c r="K7" i="3" s="1"/>
  <c r="I196" i="3"/>
  <c r="I37" i="3" s="1"/>
  <c r="P176" i="3"/>
  <c r="P17" i="3" s="1"/>
  <c r="L176" i="3"/>
  <c r="L17" i="3" s="1"/>
  <c r="O169" i="3"/>
  <c r="O10" i="3" s="1"/>
  <c r="J169" i="3"/>
  <c r="J10" i="3" s="1"/>
  <c r="O166" i="3"/>
  <c r="O7" i="3" s="1"/>
  <c r="J166" i="3"/>
  <c r="J7" i="3" s="1"/>
  <c r="K197" i="3"/>
  <c r="K38" i="3" s="1"/>
  <c r="M190" i="3"/>
  <c r="M31" i="3" s="1"/>
  <c r="K187" i="3"/>
  <c r="K28" i="3" s="1"/>
  <c r="M186" i="3"/>
  <c r="M27" i="3" s="1"/>
  <c r="K181" i="3"/>
  <c r="K22" i="3" s="1"/>
  <c r="M180" i="3"/>
  <c r="M21" i="3" s="1"/>
  <c r="K176" i="3"/>
  <c r="K17" i="3" s="1"/>
  <c r="I169" i="3"/>
  <c r="I10" i="3" s="1"/>
  <c r="I166" i="3"/>
  <c r="I7" i="3" s="1"/>
  <c r="I203" i="3"/>
  <c r="I44" i="3" s="1"/>
  <c r="I197" i="3"/>
  <c r="I38" i="3" s="1"/>
  <c r="I187" i="3"/>
  <c r="I28" i="3" s="1"/>
  <c r="L184" i="3"/>
  <c r="L25" i="3" s="1"/>
  <c r="I181" i="3"/>
  <c r="I22" i="3" s="1"/>
  <c r="O176" i="3"/>
  <c r="O17" i="3" s="1"/>
  <c r="J176" i="3"/>
  <c r="J17" i="3" s="1"/>
  <c r="N169" i="3"/>
  <c r="N10" i="3" s="1"/>
  <c r="H169" i="3"/>
  <c r="H10" i="3" s="1"/>
  <c r="N166" i="3"/>
  <c r="N7" i="3" s="1"/>
  <c r="H166" i="3"/>
  <c r="H7" i="3" s="1"/>
  <c r="I206" i="3"/>
  <c r="I47" i="3" s="1"/>
  <c r="K193" i="3"/>
  <c r="K34" i="3" s="1"/>
  <c r="K190" i="3"/>
  <c r="K31" i="3" s="1"/>
  <c r="G187" i="3"/>
  <c r="K186" i="3"/>
  <c r="K27" i="3" s="1"/>
  <c r="K184" i="3"/>
  <c r="K25" i="3" s="1"/>
  <c r="G181" i="3"/>
  <c r="K180" i="3"/>
  <c r="K21" i="3" s="1"/>
  <c r="M179" i="3"/>
  <c r="M20" i="3" s="1"/>
  <c r="I176" i="3"/>
  <c r="I17" i="3" s="1"/>
  <c r="G169" i="3"/>
  <c r="G166" i="3"/>
  <c r="I193" i="3"/>
  <c r="I34" i="3" s="1"/>
  <c r="I190" i="3"/>
  <c r="I31" i="3" s="1"/>
  <c r="I186" i="3"/>
  <c r="I27" i="3" s="1"/>
  <c r="I184" i="3"/>
  <c r="I25" i="3" s="1"/>
  <c r="I180" i="3"/>
  <c r="I21" i="3" s="1"/>
  <c r="N176" i="3"/>
  <c r="N17" i="3" s="1"/>
  <c r="H176" i="3"/>
  <c r="H17" i="3" s="1"/>
  <c r="M169" i="3"/>
  <c r="M10" i="3" s="1"/>
  <c r="M166" i="3"/>
  <c r="M7" i="3" s="1"/>
  <c r="I204" i="3"/>
  <c r="I45" i="3" s="1"/>
  <c r="G193" i="3"/>
  <c r="G190" i="3"/>
  <c r="G186" i="3"/>
  <c r="P184" i="3"/>
  <c r="P25" i="3" s="1"/>
  <c r="G184" i="3"/>
  <c r="G180" i="3"/>
  <c r="K179" i="3"/>
  <c r="K20" i="3" s="1"/>
  <c r="G176" i="3"/>
  <c r="I199" i="3"/>
  <c r="I40" i="3" s="1"/>
  <c r="I179" i="3"/>
  <c r="I20" i="3" s="1"/>
  <c r="M176" i="3"/>
  <c r="M17" i="3" s="1"/>
  <c r="P169" i="3"/>
  <c r="P10" i="3" s="1"/>
  <c r="L169" i="3"/>
  <c r="L10" i="3" s="1"/>
  <c r="P166" i="3"/>
  <c r="L166" i="3"/>
  <c r="L7" i="3" s="1"/>
  <c r="G201" i="3"/>
  <c r="M201" i="3"/>
  <c r="M42" i="3" s="1"/>
  <c r="P201" i="3"/>
  <c r="P42" i="3" s="1"/>
  <c r="L201" i="3"/>
  <c r="L42" i="3" s="1"/>
  <c r="K201" i="3"/>
  <c r="K42" i="3" s="1"/>
  <c r="O201" i="3"/>
  <c r="O42" i="3" s="1"/>
  <c r="J201" i="3"/>
  <c r="J42" i="3" s="1"/>
  <c r="N201" i="3"/>
  <c r="N42" i="3" s="1"/>
  <c r="H201" i="3"/>
  <c r="H42" i="3" s="1"/>
  <c r="I201" i="3"/>
  <c r="I42" i="3" s="1"/>
  <c r="I220" i="3"/>
  <c r="I61" i="3" s="1"/>
  <c r="I219" i="3"/>
  <c r="I60" i="3" s="1"/>
  <c r="I218" i="3"/>
  <c r="I59" i="3" s="1"/>
  <c r="N220" i="3"/>
  <c r="N61" i="3" s="1"/>
  <c r="H220" i="3"/>
  <c r="H61" i="3" s="1"/>
  <c r="N219" i="3"/>
  <c r="N60" i="3" s="1"/>
  <c r="H219" i="3"/>
  <c r="H60" i="3" s="1"/>
  <c r="N218" i="3"/>
  <c r="N59" i="3" s="1"/>
  <c r="H218" i="3"/>
  <c r="H59" i="3" s="1"/>
  <c r="G220" i="3"/>
  <c r="G219" i="3"/>
  <c r="G218" i="3"/>
  <c r="M220" i="3"/>
  <c r="M61" i="3" s="1"/>
  <c r="M219" i="3"/>
  <c r="M60" i="3" s="1"/>
  <c r="M218" i="3"/>
  <c r="M59" i="3" s="1"/>
  <c r="P220" i="3"/>
  <c r="P61" i="3" s="1"/>
  <c r="L220" i="3"/>
  <c r="L61" i="3" s="1"/>
  <c r="P219" i="3"/>
  <c r="P60" i="3" s="1"/>
  <c r="L219" i="3"/>
  <c r="L60" i="3" s="1"/>
  <c r="P218" i="3"/>
  <c r="P59" i="3" s="1"/>
  <c r="L218" i="3"/>
  <c r="L59" i="3" s="1"/>
  <c r="O220" i="3"/>
  <c r="O61" i="3" s="1"/>
  <c r="J220" i="3"/>
  <c r="J61" i="3" s="1"/>
  <c r="O219" i="3"/>
  <c r="O60" i="3" s="1"/>
  <c r="J219" i="3"/>
  <c r="J60" i="3" s="1"/>
  <c r="O218" i="3"/>
  <c r="O59" i="3" s="1"/>
  <c r="J218" i="3"/>
  <c r="J59" i="3" s="1"/>
  <c r="K218" i="3"/>
  <c r="K59" i="3" s="1"/>
  <c r="K219" i="3"/>
  <c r="K60" i="3" s="1"/>
  <c r="K220" i="3"/>
  <c r="K61" i="3" s="1"/>
  <c r="Q26" i="3"/>
  <c r="G200" i="3"/>
  <c r="M200" i="3"/>
  <c r="M41" i="3" s="1"/>
  <c r="P200" i="3"/>
  <c r="P41" i="3" s="1"/>
  <c r="L200" i="3"/>
  <c r="L41" i="3" s="1"/>
  <c r="P188" i="3"/>
  <c r="P29" i="3" s="1"/>
  <c r="L188" i="3"/>
  <c r="L29" i="3" s="1"/>
  <c r="K200" i="3"/>
  <c r="K41" i="3" s="1"/>
  <c r="O200" i="3"/>
  <c r="O41" i="3" s="1"/>
  <c r="J200" i="3"/>
  <c r="J41" i="3" s="1"/>
  <c r="O188" i="3"/>
  <c r="O29" i="3" s="1"/>
  <c r="J188" i="3"/>
  <c r="J29" i="3" s="1"/>
  <c r="N200" i="3"/>
  <c r="N41" i="3" s="1"/>
  <c r="H200" i="3"/>
  <c r="H41" i="3" s="1"/>
  <c r="N188" i="3"/>
  <c r="N29" i="3" s="1"/>
  <c r="H188" i="3"/>
  <c r="H29" i="3" s="1"/>
  <c r="K188" i="3"/>
  <c r="K29" i="3" s="1"/>
  <c r="K172" i="3"/>
  <c r="K13" i="3" s="1"/>
  <c r="K167" i="3"/>
  <c r="K8" i="3" s="1"/>
  <c r="K164" i="3"/>
  <c r="I188" i="3"/>
  <c r="I29" i="3" s="1"/>
  <c r="O172" i="3"/>
  <c r="O13" i="3" s="1"/>
  <c r="J172" i="3"/>
  <c r="J13" i="3" s="1"/>
  <c r="O167" i="3"/>
  <c r="O8" i="3" s="1"/>
  <c r="J167" i="3"/>
  <c r="J8" i="3" s="1"/>
  <c r="O164" i="3"/>
  <c r="J164" i="3"/>
  <c r="I200" i="3"/>
  <c r="I41" i="3" s="1"/>
  <c r="G188" i="3"/>
  <c r="I172" i="3"/>
  <c r="I13" i="3" s="1"/>
  <c r="I167" i="3"/>
  <c r="I8" i="3" s="1"/>
  <c r="I164" i="3"/>
  <c r="N172" i="3"/>
  <c r="N13" i="3" s="1"/>
  <c r="H172" i="3"/>
  <c r="H13" i="3" s="1"/>
  <c r="N167" i="3"/>
  <c r="N8" i="3" s="1"/>
  <c r="H167" i="3"/>
  <c r="H8" i="3" s="1"/>
  <c r="N164" i="3"/>
  <c r="H164" i="3"/>
  <c r="G172" i="3"/>
  <c r="G167" i="3"/>
  <c r="G164" i="3"/>
  <c r="M172" i="3"/>
  <c r="M13" i="3" s="1"/>
  <c r="M167" i="3"/>
  <c r="M8" i="3" s="1"/>
  <c r="M164" i="3"/>
  <c r="M188" i="3"/>
  <c r="M29" i="3" s="1"/>
  <c r="P172" i="3"/>
  <c r="P13" i="3" s="1"/>
  <c r="L172" i="3"/>
  <c r="L13" i="3" s="1"/>
  <c r="P167" i="3"/>
  <c r="P8" i="3" s="1"/>
  <c r="L167" i="3"/>
  <c r="L8" i="3" s="1"/>
  <c r="P164" i="3"/>
  <c r="P5" i="3" s="1"/>
  <c r="L164" i="3"/>
  <c r="P178" i="3"/>
  <c r="P19" i="3" s="1"/>
  <c r="N178" i="3"/>
  <c r="N19" i="3" s="1"/>
  <c r="K173" i="3"/>
  <c r="K14" i="3" s="1"/>
  <c r="L178" i="3"/>
  <c r="L19" i="3" s="1"/>
  <c r="O173" i="3"/>
  <c r="O14" i="3" s="1"/>
  <c r="J173" i="3"/>
  <c r="J14" i="3" s="1"/>
  <c r="K178" i="3"/>
  <c r="K19" i="3" s="1"/>
  <c r="I173" i="3"/>
  <c r="I14" i="3" s="1"/>
  <c r="J178" i="3"/>
  <c r="J19" i="3" s="1"/>
  <c r="N173" i="3"/>
  <c r="N14" i="3" s="1"/>
  <c r="H173" i="3"/>
  <c r="H14" i="3" s="1"/>
  <c r="O178" i="3"/>
  <c r="O19" i="3" s="1"/>
  <c r="I178" i="3"/>
  <c r="I19" i="3" s="1"/>
  <c r="G173" i="3"/>
  <c r="H178" i="3"/>
  <c r="H19" i="3" s="1"/>
  <c r="M173" i="3"/>
  <c r="M14" i="3" s="1"/>
  <c r="G178" i="3"/>
  <c r="M178" i="3"/>
  <c r="M19" i="3" s="1"/>
  <c r="P173" i="3"/>
  <c r="P14" i="3" s="1"/>
  <c r="L173" i="3"/>
  <c r="L14" i="3" s="1"/>
  <c r="K168" i="3"/>
  <c r="K9" i="3" s="1"/>
  <c r="O168" i="3"/>
  <c r="O9" i="3" s="1"/>
  <c r="J168" i="3"/>
  <c r="J9" i="3" s="1"/>
  <c r="I168" i="3"/>
  <c r="I9" i="3" s="1"/>
  <c r="N168" i="3"/>
  <c r="N9" i="3" s="1"/>
  <c r="H168" i="3"/>
  <c r="H9" i="3" s="1"/>
  <c r="G168" i="3"/>
  <c r="M168" i="3"/>
  <c r="M9" i="3" s="1"/>
  <c r="P168" i="3"/>
  <c r="P9" i="3" s="1"/>
  <c r="L168" i="3"/>
  <c r="L9" i="3" s="1"/>
  <c r="M191" i="3"/>
  <c r="M32" i="3" s="1"/>
  <c r="P191" i="3"/>
  <c r="P32" i="3" s="1"/>
  <c r="L191" i="3"/>
  <c r="L32" i="3" s="1"/>
  <c r="O191" i="3"/>
  <c r="O32" i="3" s="1"/>
  <c r="J191" i="3"/>
  <c r="J32" i="3" s="1"/>
  <c r="N191" i="3"/>
  <c r="N32" i="3" s="1"/>
  <c r="H191" i="3"/>
  <c r="H32" i="3" s="1"/>
  <c r="K191" i="3"/>
  <c r="K32" i="3" s="1"/>
  <c r="I191" i="3"/>
  <c r="I32" i="3" s="1"/>
  <c r="G191" i="3"/>
  <c r="M226" i="3"/>
  <c r="G225" i="3"/>
  <c r="G224" i="3"/>
  <c r="G198" i="3"/>
  <c r="M225" i="3"/>
  <c r="M66" i="3" s="1"/>
  <c r="M224" i="3"/>
  <c r="M65" i="3" s="1"/>
  <c r="M198" i="3"/>
  <c r="M39" i="3" s="1"/>
  <c r="P225" i="3"/>
  <c r="P66" i="3" s="1"/>
  <c r="L225" i="3"/>
  <c r="L66" i="3" s="1"/>
  <c r="P224" i="3"/>
  <c r="P65" i="3" s="1"/>
  <c r="L224" i="3"/>
  <c r="L65" i="3" s="1"/>
  <c r="P198" i="3"/>
  <c r="P39" i="3" s="1"/>
  <c r="L198" i="3"/>
  <c r="L39" i="3" s="1"/>
  <c r="K225" i="3"/>
  <c r="K66" i="3" s="1"/>
  <c r="K224" i="3"/>
  <c r="K65" i="3" s="1"/>
  <c r="P226" i="3"/>
  <c r="P67" i="3" s="1"/>
  <c r="O225" i="3"/>
  <c r="O66" i="3" s="1"/>
  <c r="J225" i="3"/>
  <c r="J66" i="3" s="1"/>
  <c r="O224" i="3"/>
  <c r="O65" i="3" s="1"/>
  <c r="J224" i="3"/>
  <c r="J65" i="3" s="1"/>
  <c r="O198" i="3"/>
  <c r="O39" i="3" s="1"/>
  <c r="J198" i="3"/>
  <c r="J39" i="3" s="1"/>
  <c r="N226" i="3"/>
  <c r="N67" i="3" s="1"/>
  <c r="N225" i="3"/>
  <c r="N66" i="3" s="1"/>
  <c r="H225" i="3"/>
  <c r="H66" i="3" s="1"/>
  <c r="N224" i="3"/>
  <c r="N65" i="3" s="1"/>
  <c r="H224" i="3"/>
  <c r="H65" i="3" s="1"/>
  <c r="N198" i="3"/>
  <c r="N39" i="3" s="1"/>
  <c r="H198" i="3"/>
  <c r="H39" i="3" s="1"/>
  <c r="I225" i="3"/>
  <c r="I66" i="3" s="1"/>
  <c r="O226" i="3"/>
  <c r="O67" i="3" s="1"/>
  <c r="K198" i="3"/>
  <c r="K39" i="3" s="1"/>
  <c r="I224" i="3"/>
  <c r="I65" i="3" s="1"/>
  <c r="I198" i="3"/>
  <c r="I39" i="3" s="1"/>
  <c r="P182" i="3"/>
  <c r="P23" i="3" s="1"/>
  <c r="L182" i="3"/>
  <c r="L23" i="3" s="1"/>
  <c r="O182" i="3"/>
  <c r="O23" i="3" s="1"/>
  <c r="J182" i="3"/>
  <c r="J23" i="3" s="1"/>
  <c r="N182" i="3"/>
  <c r="N23" i="3" s="1"/>
  <c r="H182" i="3"/>
  <c r="H23" i="3" s="1"/>
  <c r="K182" i="3"/>
  <c r="K23" i="3" s="1"/>
  <c r="I182" i="3"/>
  <c r="I23" i="3" s="1"/>
  <c r="G182" i="3"/>
  <c r="M182" i="3"/>
  <c r="M23" i="3" s="1"/>
  <c r="G202" i="3"/>
  <c r="M202" i="3"/>
  <c r="M43" i="3" s="1"/>
  <c r="P202" i="3"/>
  <c r="P43" i="3" s="1"/>
  <c r="L202" i="3"/>
  <c r="L43" i="3" s="1"/>
  <c r="K202" i="3"/>
  <c r="K43" i="3" s="1"/>
  <c r="O202" i="3"/>
  <c r="O43" i="3" s="1"/>
  <c r="J202" i="3"/>
  <c r="J43" i="3" s="1"/>
  <c r="N202" i="3"/>
  <c r="N43" i="3" s="1"/>
  <c r="H202" i="3"/>
  <c r="H43" i="3" s="1"/>
  <c r="I202" i="3"/>
  <c r="I43" i="3" s="1"/>
  <c r="M195" i="3"/>
  <c r="M36" i="3" s="1"/>
  <c r="M194" i="3"/>
  <c r="M35" i="3" s="1"/>
  <c r="P195" i="3"/>
  <c r="P36" i="3" s="1"/>
  <c r="L195" i="3"/>
  <c r="L36" i="3" s="1"/>
  <c r="P194" i="3"/>
  <c r="P35" i="3" s="1"/>
  <c r="L194" i="3"/>
  <c r="L35" i="3" s="1"/>
  <c r="O195" i="3"/>
  <c r="O36" i="3" s="1"/>
  <c r="J195" i="3"/>
  <c r="J36" i="3" s="1"/>
  <c r="O194" i="3"/>
  <c r="O35" i="3" s="1"/>
  <c r="J194" i="3"/>
  <c r="J35" i="3" s="1"/>
  <c r="N195" i="3"/>
  <c r="N36" i="3" s="1"/>
  <c r="H195" i="3"/>
  <c r="H36" i="3" s="1"/>
  <c r="N194" i="3"/>
  <c r="N35" i="3" s="1"/>
  <c r="H194" i="3"/>
  <c r="H35" i="3" s="1"/>
  <c r="G195" i="3"/>
  <c r="K194" i="3"/>
  <c r="K35" i="3" s="1"/>
  <c r="K195" i="3"/>
  <c r="K36" i="3" s="1"/>
  <c r="I194" i="3"/>
  <c r="I35" i="3" s="1"/>
  <c r="I195" i="3"/>
  <c r="I36" i="3" s="1"/>
  <c r="G194" i="3"/>
  <c r="K171" i="3"/>
  <c r="K12" i="3" s="1"/>
  <c r="O171" i="3"/>
  <c r="O12" i="3" s="1"/>
  <c r="J171" i="3"/>
  <c r="J12" i="3" s="1"/>
  <c r="I171" i="3"/>
  <c r="I12" i="3" s="1"/>
  <c r="N171" i="3"/>
  <c r="N12" i="3" s="1"/>
  <c r="H171" i="3"/>
  <c r="H12" i="3" s="1"/>
  <c r="G171" i="3"/>
  <c r="M171" i="3"/>
  <c r="M12" i="3" s="1"/>
  <c r="P171" i="3"/>
  <c r="P12" i="3" s="1"/>
  <c r="L171" i="3"/>
  <c r="L12" i="3" s="1"/>
  <c r="P175" i="3"/>
  <c r="P16" i="3" s="1"/>
  <c r="L175" i="3"/>
  <c r="L16" i="3" s="1"/>
  <c r="K175" i="3"/>
  <c r="K16" i="3" s="1"/>
  <c r="O175" i="3"/>
  <c r="O16" i="3" s="1"/>
  <c r="J175" i="3"/>
  <c r="J16" i="3" s="1"/>
  <c r="I175" i="3"/>
  <c r="I16" i="3" s="1"/>
  <c r="N175" i="3"/>
  <c r="N16" i="3" s="1"/>
  <c r="H175" i="3"/>
  <c r="H16" i="3" s="1"/>
  <c r="G175" i="3"/>
  <c r="M175" i="3"/>
  <c r="M16" i="3" s="1"/>
  <c r="M217" i="3"/>
  <c r="I215" i="3"/>
  <c r="I56" i="3" s="1"/>
  <c r="M214" i="3"/>
  <c r="M55" i="3" s="1"/>
  <c r="I213" i="3"/>
  <c r="I54" i="3" s="1"/>
  <c r="M212" i="3"/>
  <c r="M53" i="3" s="1"/>
  <c r="I211" i="3"/>
  <c r="I52" i="3" s="1"/>
  <c r="I210" i="3"/>
  <c r="I51" i="3" s="1"/>
  <c r="I209" i="3"/>
  <c r="I50" i="3" s="1"/>
  <c r="I208" i="3"/>
  <c r="I49" i="3" s="1"/>
  <c r="P215" i="3"/>
  <c r="P56" i="3" s="1"/>
  <c r="H215" i="3"/>
  <c r="H56" i="3" s="1"/>
  <c r="L214" i="3"/>
  <c r="L55" i="3" s="1"/>
  <c r="P213" i="3"/>
  <c r="P54" i="3" s="1"/>
  <c r="H213" i="3"/>
  <c r="H54" i="3" s="1"/>
  <c r="L212" i="3"/>
  <c r="L53" i="3" s="1"/>
  <c r="P211" i="3"/>
  <c r="P52" i="3" s="1"/>
  <c r="H211" i="3"/>
  <c r="H52" i="3" s="1"/>
  <c r="N210" i="3"/>
  <c r="N51" i="3" s="1"/>
  <c r="H210" i="3"/>
  <c r="H51" i="3" s="1"/>
  <c r="N209" i="3"/>
  <c r="N50" i="3" s="1"/>
  <c r="H209" i="3"/>
  <c r="H50" i="3" s="1"/>
  <c r="N208" i="3"/>
  <c r="N49" i="3" s="1"/>
  <c r="H208" i="3"/>
  <c r="H49" i="3" s="1"/>
  <c r="O215" i="3"/>
  <c r="O56" i="3" s="1"/>
  <c r="G215" i="3"/>
  <c r="K214" i="3"/>
  <c r="K55" i="3" s="1"/>
  <c r="O213" i="3"/>
  <c r="O54" i="3" s="1"/>
  <c r="G213" i="3"/>
  <c r="K212" i="3"/>
  <c r="K53" i="3" s="1"/>
  <c r="O211" i="3"/>
  <c r="O52" i="3" s="1"/>
  <c r="G211" i="3"/>
  <c r="G210" i="3"/>
  <c r="G209" i="3"/>
  <c r="G208" i="3"/>
  <c r="P216" i="3"/>
  <c r="P57" i="3" s="1"/>
  <c r="N215" i="3"/>
  <c r="N56" i="3" s="1"/>
  <c r="J214" i="3"/>
  <c r="J55" i="3" s="1"/>
  <c r="N213" i="3"/>
  <c r="N54" i="3" s="1"/>
  <c r="J212" i="3"/>
  <c r="J53" i="3" s="1"/>
  <c r="N211" i="3"/>
  <c r="N52" i="3" s="1"/>
  <c r="M210" i="3"/>
  <c r="M51" i="3" s="1"/>
  <c r="M209" i="3"/>
  <c r="M50" i="3" s="1"/>
  <c r="M208" i="3"/>
  <c r="M49" i="3" s="1"/>
  <c r="O216" i="3"/>
  <c r="O57" i="3" s="1"/>
  <c r="M215" i="3"/>
  <c r="M56" i="3" s="1"/>
  <c r="I214" i="3"/>
  <c r="I55" i="3" s="1"/>
  <c r="M213" i="3"/>
  <c r="M54" i="3" s="1"/>
  <c r="I212" i="3"/>
  <c r="I53" i="3" s="1"/>
  <c r="M211" i="3"/>
  <c r="M52" i="3" s="1"/>
  <c r="P217" i="3"/>
  <c r="P58" i="3" s="1"/>
  <c r="N216" i="3"/>
  <c r="N57" i="3" s="1"/>
  <c r="L215" i="3"/>
  <c r="L56" i="3" s="1"/>
  <c r="P214" i="3"/>
  <c r="P55" i="3" s="1"/>
  <c r="H214" i="3"/>
  <c r="H55" i="3" s="1"/>
  <c r="L213" i="3"/>
  <c r="L54" i="3" s="1"/>
  <c r="P212" i="3"/>
  <c r="P53" i="3" s="1"/>
  <c r="H212" i="3"/>
  <c r="H53" i="3" s="1"/>
  <c r="L211" i="3"/>
  <c r="L52" i="3" s="1"/>
  <c r="P210" i="3"/>
  <c r="P51" i="3" s="1"/>
  <c r="L210" i="3"/>
  <c r="L51" i="3" s="1"/>
  <c r="P209" i="3"/>
  <c r="P50" i="3" s="1"/>
  <c r="L209" i="3"/>
  <c r="L50" i="3" s="1"/>
  <c r="P208" i="3"/>
  <c r="P49" i="3" s="1"/>
  <c r="L208" i="3"/>
  <c r="L49" i="3" s="1"/>
  <c r="N217" i="3"/>
  <c r="N58" i="3" s="1"/>
  <c r="J215" i="3"/>
  <c r="J56" i="3" s="1"/>
  <c r="N214" i="3"/>
  <c r="N55" i="3" s="1"/>
  <c r="J213" i="3"/>
  <c r="J54" i="3" s="1"/>
  <c r="N212" i="3"/>
  <c r="N53" i="3" s="1"/>
  <c r="J211" i="3"/>
  <c r="J52" i="3" s="1"/>
  <c r="O210" i="3"/>
  <c r="O51" i="3" s="1"/>
  <c r="J210" i="3"/>
  <c r="J51" i="3" s="1"/>
  <c r="O209" i="3"/>
  <c r="O50" i="3" s="1"/>
  <c r="J209" i="3"/>
  <c r="J50" i="3" s="1"/>
  <c r="O208" i="3"/>
  <c r="O49" i="3" s="1"/>
  <c r="J208" i="3"/>
  <c r="J49" i="3" s="1"/>
  <c r="K213" i="3"/>
  <c r="K54" i="3" s="1"/>
  <c r="K210" i="3"/>
  <c r="K51" i="3" s="1"/>
  <c r="O212" i="3"/>
  <c r="O53" i="3" s="1"/>
  <c r="O217" i="3"/>
  <c r="O58" i="3" s="1"/>
  <c r="G212" i="3"/>
  <c r="K208" i="3"/>
  <c r="K49" i="3" s="1"/>
  <c r="K211" i="3"/>
  <c r="K52" i="3" s="1"/>
  <c r="M216" i="3"/>
  <c r="K215" i="3"/>
  <c r="K56" i="3" s="1"/>
  <c r="K209" i="3"/>
  <c r="K50" i="3" s="1"/>
  <c r="O214" i="3"/>
  <c r="O55" i="3" s="1"/>
  <c r="G214" i="3"/>
  <c r="G157" i="3"/>
  <c r="H157" i="3"/>
  <c r="N157" i="3"/>
  <c r="K170" i="3"/>
  <c r="K11" i="3" s="1"/>
  <c r="O170" i="3"/>
  <c r="O11" i="3" s="1"/>
  <c r="J170" i="3"/>
  <c r="J11" i="3" s="1"/>
  <c r="I170" i="3"/>
  <c r="I11" i="3" s="1"/>
  <c r="N170" i="3"/>
  <c r="N11" i="3" s="1"/>
  <c r="H170" i="3"/>
  <c r="H11" i="3" s="1"/>
  <c r="G170" i="3"/>
  <c r="M170" i="3"/>
  <c r="M11" i="3" s="1"/>
  <c r="P170" i="3"/>
  <c r="P11" i="3" s="1"/>
  <c r="L170" i="3"/>
  <c r="L11" i="3" s="1"/>
  <c r="Q73" i="3"/>
  <c r="I157" i="3"/>
  <c r="Q89" i="3"/>
  <c r="Q90" i="3"/>
  <c r="P189" i="3"/>
  <c r="P30" i="3" s="1"/>
  <c r="L189" i="3"/>
  <c r="L30" i="3" s="1"/>
  <c r="O189" i="3"/>
  <c r="O30" i="3" s="1"/>
  <c r="J189" i="3"/>
  <c r="J30" i="3" s="1"/>
  <c r="N189" i="3"/>
  <c r="N30" i="3" s="1"/>
  <c r="H189" i="3"/>
  <c r="H30" i="3" s="1"/>
  <c r="G189" i="3"/>
  <c r="M189" i="3"/>
  <c r="M30" i="3" s="1"/>
  <c r="K189" i="3"/>
  <c r="K30" i="3" s="1"/>
  <c r="I189" i="3"/>
  <c r="I30" i="3" s="1"/>
  <c r="O221" i="3"/>
  <c r="O62" i="3" s="1"/>
  <c r="P222" i="3"/>
  <c r="P63" i="3" s="1"/>
  <c r="N221" i="3"/>
  <c r="N62" i="3" s="1"/>
  <c r="O222" i="3"/>
  <c r="O63" i="3" s="1"/>
  <c r="M221" i="3"/>
  <c r="P223" i="3"/>
  <c r="P64" i="3" s="1"/>
  <c r="N222" i="3"/>
  <c r="N63" i="3" s="1"/>
  <c r="O223" i="3"/>
  <c r="O64" i="3" s="1"/>
  <c r="M222" i="3"/>
  <c r="N223" i="3"/>
  <c r="N64" i="3" s="1"/>
  <c r="P221" i="3"/>
  <c r="P62" i="3" s="1"/>
  <c r="M223" i="3"/>
  <c r="Y71" i="3"/>
  <c r="K157" i="3"/>
  <c r="Q70" i="3"/>
  <c r="L157" i="3"/>
  <c r="P157" i="3"/>
  <c r="Q93" i="3"/>
  <c r="G205" i="3"/>
  <c r="M205" i="3"/>
  <c r="M46" i="3" s="1"/>
  <c r="P205" i="3"/>
  <c r="P46" i="3" s="1"/>
  <c r="L205" i="3"/>
  <c r="L46" i="3" s="1"/>
  <c r="K205" i="3"/>
  <c r="K46" i="3" s="1"/>
  <c r="O205" i="3"/>
  <c r="O46" i="3" s="1"/>
  <c r="J205" i="3"/>
  <c r="J46" i="3" s="1"/>
  <c r="N205" i="3"/>
  <c r="N46" i="3" s="1"/>
  <c r="H205" i="3"/>
  <c r="H46" i="3" s="1"/>
  <c r="I205" i="3"/>
  <c r="I46" i="3" s="1"/>
  <c r="Q85" i="3"/>
  <c r="Q109" i="3"/>
  <c r="Q104" i="3"/>
  <c r="Q75" i="3"/>
  <c r="Q87" i="3"/>
  <c r="Q91" i="3"/>
  <c r="Q95" i="3"/>
  <c r="Q99" i="3"/>
  <c r="Q103" i="3"/>
  <c r="Q108" i="3"/>
  <c r="Q112" i="3"/>
  <c r="Q116" i="3"/>
  <c r="Q121" i="3"/>
  <c r="Q125" i="3"/>
  <c r="E157" i="3"/>
  <c r="O52" i="1"/>
  <c r="Q52" i="1"/>
  <c r="S52" i="1"/>
  <c r="M53" i="1"/>
  <c r="O53" i="1"/>
  <c r="Q53" i="1"/>
  <c r="S53" i="1"/>
  <c r="M54" i="1"/>
  <c r="O54" i="1"/>
  <c r="Q54" i="1"/>
  <c r="S54" i="1"/>
  <c r="M55" i="1"/>
  <c r="O55" i="1"/>
  <c r="Q55" i="1"/>
  <c r="S55" i="1"/>
  <c r="M56" i="1"/>
  <c r="O56" i="1"/>
  <c r="Q56" i="1"/>
  <c r="S56" i="1"/>
  <c r="AI18" i="1"/>
  <c r="AJ18" i="1"/>
  <c r="P78" i="3" l="1"/>
  <c r="Q170" i="3"/>
  <c r="G11" i="3"/>
  <c r="Q194" i="3"/>
  <c r="G35" i="3"/>
  <c r="G236" i="3"/>
  <c r="Q164" i="3"/>
  <c r="G5" i="3"/>
  <c r="Q190" i="3"/>
  <c r="G31" i="3"/>
  <c r="Q197" i="3"/>
  <c r="G38" i="3"/>
  <c r="Q223" i="3"/>
  <c r="M64" i="3"/>
  <c r="Q64" i="3" s="1"/>
  <c r="Q173" i="3"/>
  <c r="G14" i="3"/>
  <c r="P236" i="3"/>
  <c r="O236" i="3"/>
  <c r="O5" i="3"/>
  <c r="O78" i="3" s="1"/>
  <c r="Q200" i="3"/>
  <c r="G41" i="3"/>
  <c r="Q186" i="3"/>
  <c r="G27" i="3"/>
  <c r="Q196" i="3"/>
  <c r="G37" i="3"/>
  <c r="Q216" i="3"/>
  <c r="M57" i="3"/>
  <c r="Q57" i="3" s="1"/>
  <c r="Q213" i="3"/>
  <c r="G54" i="3"/>
  <c r="Q224" i="3"/>
  <c r="G65" i="3"/>
  <c r="Q167" i="3"/>
  <c r="G8" i="3"/>
  <c r="I236" i="3"/>
  <c r="I5" i="3"/>
  <c r="I78" i="3" s="1"/>
  <c r="Q218" i="3"/>
  <c r="G59" i="3"/>
  <c r="Q193" i="3"/>
  <c r="G34" i="3"/>
  <c r="Q181" i="3"/>
  <c r="G22" i="3"/>
  <c r="Q199" i="3"/>
  <c r="G40" i="3"/>
  <c r="Q222" i="3"/>
  <c r="M63" i="3"/>
  <c r="Q63" i="3" s="1"/>
  <c r="Q171" i="3"/>
  <c r="G12" i="3"/>
  <c r="Q225" i="3"/>
  <c r="G66" i="3"/>
  <c r="Q168" i="3"/>
  <c r="G9" i="3"/>
  <c r="Q172" i="3"/>
  <c r="G13" i="3"/>
  <c r="Q219" i="3"/>
  <c r="G60" i="3"/>
  <c r="Q201" i="3"/>
  <c r="G42" i="3"/>
  <c r="Q176" i="3"/>
  <c r="G17" i="3"/>
  <c r="Q203" i="3"/>
  <c r="G44" i="3"/>
  <c r="Q177" i="3"/>
  <c r="G18" i="3"/>
  <c r="Q227" i="3"/>
  <c r="G68" i="3"/>
  <c r="Q198" i="3"/>
  <c r="G39" i="3"/>
  <c r="Q208" i="3"/>
  <c r="G49" i="3"/>
  <c r="Q226" i="3"/>
  <c r="M67" i="3"/>
  <c r="Q67" i="3" s="1"/>
  <c r="H236" i="3"/>
  <c r="H5" i="3"/>
  <c r="H78" i="3" s="1"/>
  <c r="Q220" i="3"/>
  <c r="G61" i="3"/>
  <c r="Q204" i="3"/>
  <c r="G45" i="3"/>
  <c r="Q192" i="3"/>
  <c r="G33" i="3"/>
  <c r="Q157" i="3"/>
  <c r="Q212" i="3"/>
  <c r="G53" i="3"/>
  <c r="Q209" i="3"/>
  <c r="G50" i="3"/>
  <c r="Q215" i="3"/>
  <c r="G56" i="3"/>
  <c r="Q217" i="3"/>
  <c r="M58" i="3"/>
  <c r="Q58" i="3" s="1"/>
  <c r="Q178" i="3"/>
  <c r="G19" i="3"/>
  <c r="N236" i="3"/>
  <c r="N5" i="3"/>
  <c r="N78" i="3" s="1"/>
  <c r="Q188" i="3"/>
  <c r="G29" i="3"/>
  <c r="Q180" i="3"/>
  <c r="G21" i="3"/>
  <c r="Q166" i="3"/>
  <c r="G7" i="3"/>
  <c r="Q187" i="3"/>
  <c r="G28" i="3"/>
  <c r="Q206" i="3"/>
  <c r="G47" i="3"/>
  <c r="Q214" i="3"/>
  <c r="G55" i="3"/>
  <c r="Q210" i="3"/>
  <c r="G51" i="3"/>
  <c r="Q195" i="3"/>
  <c r="G36" i="3"/>
  <c r="Q202" i="3"/>
  <c r="G43" i="3"/>
  <c r="Q191" i="3"/>
  <c r="G32" i="3"/>
  <c r="M236" i="3"/>
  <c r="M5" i="3"/>
  <c r="K236" i="3"/>
  <c r="K5" i="3"/>
  <c r="K78" i="3" s="1"/>
  <c r="Q184" i="3"/>
  <c r="G25" i="3"/>
  <c r="Q169" i="3"/>
  <c r="G10" i="3"/>
  <c r="Q179" i="3"/>
  <c r="G20" i="3"/>
  <c r="Q205" i="3"/>
  <c r="G46" i="3"/>
  <c r="Q221" i="3"/>
  <c r="M62" i="3"/>
  <c r="Q62" i="3" s="1"/>
  <c r="Q189" i="3"/>
  <c r="G30" i="3"/>
  <c r="Q211" i="3"/>
  <c r="G52" i="3"/>
  <c r="Q175" i="3"/>
  <c r="G16" i="3"/>
  <c r="Q182" i="3"/>
  <c r="G23" i="3"/>
  <c r="L236" i="3"/>
  <c r="L5" i="3"/>
  <c r="L78" i="3" s="1"/>
  <c r="J236" i="3"/>
  <c r="J5" i="3"/>
  <c r="J78" i="3" s="1"/>
  <c r="Q165" i="3"/>
  <c r="G6" i="3"/>
  <c r="AE60" i="1"/>
  <c r="AE61" i="1"/>
  <c r="G77" i="1" s="1"/>
  <c r="AE62" i="1"/>
  <c r="H77" i="1" s="1"/>
  <c r="AE63" i="1"/>
  <c r="I77" i="1" s="1"/>
  <c r="AE64" i="1"/>
  <c r="J77" i="1" s="1"/>
  <c r="AE65" i="1"/>
  <c r="K77" i="1" s="1"/>
  <c r="AE66" i="1"/>
  <c r="L77" i="1" s="1"/>
  <c r="AE67" i="1"/>
  <c r="N77" i="1" s="1"/>
  <c r="AE68" i="1"/>
  <c r="P77" i="1" s="1"/>
  <c r="AE69" i="1"/>
  <c r="R77" i="1" s="1"/>
  <c r="AE70" i="1"/>
  <c r="AE59" i="1"/>
  <c r="V235" i="1"/>
  <c r="U235" i="1"/>
  <c r="V234" i="1"/>
  <c r="U234" i="1"/>
  <c r="V229" i="1"/>
  <c r="U229" i="1"/>
  <c r="V228" i="1"/>
  <c r="U228" i="1"/>
  <c r="V207" i="1"/>
  <c r="V185" i="1"/>
  <c r="V183" i="1"/>
  <c r="U183" i="1"/>
  <c r="V174" i="1"/>
  <c r="V155" i="1"/>
  <c r="V156" i="1"/>
  <c r="U155" i="1"/>
  <c r="U156" i="1"/>
  <c r="T48" i="1"/>
  <c r="T24" i="1"/>
  <c r="T15" i="1"/>
  <c r="R150" i="1"/>
  <c r="R70" i="1" s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48" i="1" s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24" i="1" s="1"/>
  <c r="R103" i="1"/>
  <c r="R102" i="1"/>
  <c r="R101" i="1"/>
  <c r="R100" i="1"/>
  <c r="R99" i="1"/>
  <c r="R98" i="1"/>
  <c r="R97" i="1"/>
  <c r="R96" i="1"/>
  <c r="R95" i="1"/>
  <c r="R15" i="1" s="1"/>
  <c r="R94" i="1"/>
  <c r="R93" i="1"/>
  <c r="R92" i="1"/>
  <c r="R91" i="1"/>
  <c r="R90" i="1"/>
  <c r="R89" i="1"/>
  <c r="R88" i="1"/>
  <c r="R87" i="1"/>
  <c r="R86" i="1"/>
  <c r="R85" i="1"/>
  <c r="P150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48" i="1" s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26" i="1" s="1"/>
  <c r="P105" i="1"/>
  <c r="P104" i="1"/>
  <c r="P24" i="1" s="1"/>
  <c r="P103" i="1"/>
  <c r="P102" i="1"/>
  <c r="P101" i="1"/>
  <c r="P100" i="1"/>
  <c r="P99" i="1"/>
  <c r="P98" i="1"/>
  <c r="P97" i="1"/>
  <c r="P96" i="1"/>
  <c r="P95" i="1"/>
  <c r="P15" i="1" s="1"/>
  <c r="P94" i="1"/>
  <c r="P93" i="1"/>
  <c r="P92" i="1"/>
  <c r="P91" i="1"/>
  <c r="P90" i="1"/>
  <c r="P89" i="1"/>
  <c r="P88" i="1"/>
  <c r="P87" i="1"/>
  <c r="P86" i="1"/>
  <c r="P85" i="1"/>
  <c r="N150" i="1"/>
  <c r="N70" i="1" s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48" i="1" s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26" i="1" s="1"/>
  <c r="N105" i="1"/>
  <c r="N104" i="1"/>
  <c r="N24" i="1" s="1"/>
  <c r="N103" i="1"/>
  <c r="N102" i="1"/>
  <c r="N101" i="1"/>
  <c r="N100" i="1"/>
  <c r="N99" i="1"/>
  <c r="N98" i="1"/>
  <c r="N97" i="1"/>
  <c r="N96" i="1"/>
  <c r="N95" i="1"/>
  <c r="N15" i="1" s="1"/>
  <c r="N94" i="1"/>
  <c r="N93" i="1"/>
  <c r="N92" i="1"/>
  <c r="N91" i="1"/>
  <c r="N90" i="1"/>
  <c r="N89" i="1"/>
  <c r="N88" i="1"/>
  <c r="N87" i="1"/>
  <c r="N86" i="1"/>
  <c r="N85" i="1"/>
  <c r="T26" i="1"/>
  <c r="T76" i="1"/>
  <c r="T75" i="1"/>
  <c r="R76" i="1"/>
  <c r="R75" i="1"/>
  <c r="R26" i="1"/>
  <c r="P76" i="1"/>
  <c r="P75" i="1"/>
  <c r="P70" i="1"/>
  <c r="N76" i="1"/>
  <c r="N75" i="1"/>
  <c r="S165" i="1"/>
  <c r="S227" i="1"/>
  <c r="S220" i="1"/>
  <c r="S219" i="1"/>
  <c r="S218" i="1"/>
  <c r="S205" i="1"/>
  <c r="S202" i="1"/>
  <c r="S201" i="1"/>
  <c r="S195" i="1"/>
  <c r="S194" i="1"/>
  <c r="S175" i="1"/>
  <c r="M225" i="1"/>
  <c r="M224" i="1"/>
  <c r="M220" i="1"/>
  <c r="M219" i="1"/>
  <c r="M218" i="1"/>
  <c r="M207" i="1"/>
  <c r="M205" i="1"/>
  <c r="M202" i="1"/>
  <c r="M198" i="1"/>
  <c r="M195" i="1"/>
  <c r="M194" i="1"/>
  <c r="M191" i="1"/>
  <c r="M189" i="1"/>
  <c r="M185" i="1"/>
  <c r="M182" i="1"/>
  <c r="M178" i="1"/>
  <c r="M177" i="1"/>
  <c r="M175" i="1"/>
  <c r="M174" i="1"/>
  <c r="M173" i="1"/>
  <c r="M171" i="1"/>
  <c r="M170" i="1"/>
  <c r="M168" i="1"/>
  <c r="M165" i="1"/>
  <c r="M210" i="1"/>
  <c r="M209" i="1"/>
  <c r="M208" i="1"/>
  <c r="M206" i="1"/>
  <c r="M204" i="1"/>
  <c r="M203" i="1"/>
  <c r="M201" i="1"/>
  <c r="M200" i="1"/>
  <c r="M199" i="1"/>
  <c r="M197" i="1"/>
  <c r="M196" i="1"/>
  <c r="M193" i="1"/>
  <c r="M192" i="1"/>
  <c r="M190" i="1"/>
  <c r="M188" i="1"/>
  <c r="M187" i="1"/>
  <c r="M186" i="1"/>
  <c r="M184" i="1"/>
  <c r="M181" i="1"/>
  <c r="M180" i="1"/>
  <c r="M179" i="1"/>
  <c r="M176" i="1"/>
  <c r="M172" i="1"/>
  <c r="M169" i="1"/>
  <c r="M167" i="1"/>
  <c r="M166" i="1"/>
  <c r="M164" i="1"/>
  <c r="M227" i="1"/>
  <c r="S207" i="1"/>
  <c r="Q207" i="1"/>
  <c r="O207" i="1"/>
  <c r="S185" i="1"/>
  <c r="Q185" i="1"/>
  <c r="O185" i="1"/>
  <c r="S174" i="1"/>
  <c r="Q174" i="1"/>
  <c r="O174" i="1"/>
  <c r="Q220" i="1"/>
  <c r="O220" i="1"/>
  <c r="Q219" i="1"/>
  <c r="O219" i="1"/>
  <c r="Q218" i="1"/>
  <c r="O218" i="1"/>
  <c r="Q205" i="1"/>
  <c r="O205" i="1"/>
  <c r="Q195" i="1"/>
  <c r="O195" i="1"/>
  <c r="Q175" i="1"/>
  <c r="O175" i="1"/>
  <c r="Q194" i="1"/>
  <c r="O194" i="1"/>
  <c r="S170" i="1"/>
  <c r="S191" i="1"/>
  <c r="S173" i="1"/>
  <c r="S171" i="1"/>
  <c r="S168" i="1"/>
  <c r="S192" i="1"/>
  <c r="S189" i="1"/>
  <c r="S182" i="1"/>
  <c r="S178" i="1"/>
  <c r="S177" i="1"/>
  <c r="Q178" i="1"/>
  <c r="O178" i="1"/>
  <c r="Q173" i="1"/>
  <c r="O173" i="1"/>
  <c r="M94" i="1"/>
  <c r="Q5" i="3" l="1"/>
  <c r="Q39" i="3"/>
  <c r="Q47" i="3"/>
  <c r="Q33" i="3"/>
  <c r="Q42" i="3"/>
  <c r="Q54" i="3"/>
  <c r="Q27" i="3"/>
  <c r="Q35" i="3"/>
  <c r="Q25" i="3"/>
  <c r="Q51" i="3"/>
  <c r="Q44" i="3"/>
  <c r="Q34" i="3"/>
  <c r="Q8" i="3"/>
  <c r="Q14" i="3"/>
  <c r="Q31" i="3"/>
  <c r="Q46" i="3"/>
  <c r="Q50" i="3"/>
  <c r="Q23" i="3"/>
  <c r="Q28" i="3"/>
  <c r="Q45" i="3"/>
  <c r="Q60" i="3"/>
  <c r="Q41" i="3"/>
  <c r="Q52" i="3"/>
  <c r="Q21" i="3"/>
  <c r="Q6" i="3"/>
  <c r="Q30" i="3"/>
  <c r="Q20" i="3"/>
  <c r="Q43" i="3"/>
  <c r="Q29" i="3"/>
  <c r="Q53" i="3"/>
  <c r="Q68" i="3"/>
  <c r="Q66" i="3"/>
  <c r="Q40" i="3"/>
  <c r="Q11" i="3"/>
  <c r="Q32" i="3"/>
  <c r="Q19" i="3"/>
  <c r="Q55" i="3"/>
  <c r="Q49" i="3"/>
  <c r="Q17" i="3"/>
  <c r="Q59" i="3"/>
  <c r="Q65" i="3"/>
  <c r="Q37" i="3"/>
  <c r="G78" i="3"/>
  <c r="Q9" i="3"/>
  <c r="Q16" i="3"/>
  <c r="Q7" i="3"/>
  <c r="Q56" i="3"/>
  <c r="Q61" i="3"/>
  <c r="Q13" i="3"/>
  <c r="Q10" i="3"/>
  <c r="M78" i="3"/>
  <c r="Q36" i="3"/>
  <c r="Q18" i="3"/>
  <c r="Q12" i="3"/>
  <c r="Q22" i="3"/>
  <c r="Q38" i="3"/>
  <c r="Q236" i="3"/>
  <c r="V77" i="1"/>
  <c r="U77" i="1"/>
  <c r="AE71" i="1"/>
  <c r="R157" i="1"/>
  <c r="U174" i="1"/>
  <c r="N157" i="1"/>
  <c r="T157" i="1"/>
  <c r="U185" i="1"/>
  <c r="U207" i="1"/>
  <c r="P157" i="1"/>
  <c r="X236" i="1"/>
  <c r="E24" i="1"/>
  <c r="F24" i="1"/>
  <c r="E39" i="1"/>
  <c r="F39" i="1"/>
  <c r="E48" i="1"/>
  <c r="F48" i="1"/>
  <c r="G48" i="1"/>
  <c r="H48" i="1"/>
  <c r="I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F69" i="1"/>
  <c r="E70" i="1"/>
  <c r="F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K75" i="1"/>
  <c r="L75" i="1"/>
  <c r="M75" i="1"/>
  <c r="O75" i="1"/>
  <c r="Q75" i="1"/>
  <c r="S75" i="1"/>
  <c r="E76" i="1"/>
  <c r="F76" i="1"/>
  <c r="G76" i="1"/>
  <c r="H76" i="1"/>
  <c r="I76" i="1"/>
  <c r="J76" i="1"/>
  <c r="K76" i="1"/>
  <c r="L76" i="1"/>
  <c r="M76" i="1"/>
  <c r="O76" i="1"/>
  <c r="Q76" i="1"/>
  <c r="S76" i="1"/>
  <c r="Q78" i="3" l="1"/>
  <c r="U64" i="1"/>
  <c r="U74" i="1"/>
  <c r="V74" i="1"/>
  <c r="U67" i="1"/>
  <c r="U63" i="1"/>
  <c r="U75" i="1"/>
  <c r="V75" i="1"/>
  <c r="V71" i="1"/>
  <c r="U71" i="1"/>
  <c r="V76" i="1"/>
  <c r="U76" i="1"/>
  <c r="U62" i="1"/>
  <c r="U58" i="1"/>
  <c r="V73" i="1"/>
  <c r="U73" i="1"/>
  <c r="V72" i="1"/>
  <c r="U72" i="1"/>
  <c r="U57" i="1"/>
  <c r="Q171" i="1"/>
  <c r="O171" i="1"/>
  <c r="F236" i="1"/>
  <c r="E236" i="1"/>
  <c r="Q202" i="1"/>
  <c r="O202" i="1"/>
  <c r="Q191" i="1"/>
  <c r="O191" i="1"/>
  <c r="Q189" i="1"/>
  <c r="O189" i="1"/>
  <c r="Q168" i="1"/>
  <c r="O168" i="1"/>
  <c r="Q177" i="1"/>
  <c r="O177" i="1"/>
  <c r="Q165" i="1"/>
  <c r="O165" i="1"/>
  <c r="S210" i="1"/>
  <c r="Q210" i="1"/>
  <c r="O210" i="1"/>
  <c r="S209" i="1"/>
  <c r="Q209" i="1"/>
  <c r="O209" i="1"/>
  <c r="S208" i="1"/>
  <c r="Q208" i="1"/>
  <c r="O208" i="1"/>
  <c r="Q201" i="1"/>
  <c r="O201" i="1"/>
  <c r="Q227" i="1"/>
  <c r="O227" i="1"/>
  <c r="Q192" i="1"/>
  <c r="O192" i="1"/>
  <c r="S225" i="1"/>
  <c r="Q225" i="1"/>
  <c r="O225" i="1"/>
  <c r="S224" i="1"/>
  <c r="Q224" i="1"/>
  <c r="S198" i="1"/>
  <c r="Q198" i="1"/>
  <c r="O198" i="1"/>
  <c r="Q182" i="1"/>
  <c r="O182" i="1"/>
  <c r="Q170" i="1"/>
  <c r="O170" i="1"/>
  <c r="S206" i="1"/>
  <c r="Q206" i="1"/>
  <c r="O206" i="1"/>
  <c r="S204" i="1"/>
  <c r="Q204" i="1"/>
  <c r="O204" i="1"/>
  <c r="S203" i="1"/>
  <c r="Q203" i="1"/>
  <c r="O203" i="1"/>
  <c r="S200" i="1"/>
  <c r="Q200" i="1"/>
  <c r="O200" i="1"/>
  <c r="S199" i="1"/>
  <c r="Q199" i="1"/>
  <c r="O199" i="1"/>
  <c r="S197" i="1"/>
  <c r="Q197" i="1"/>
  <c r="O197" i="1"/>
  <c r="S196" i="1"/>
  <c r="Q196" i="1"/>
  <c r="O196" i="1"/>
  <c r="S193" i="1"/>
  <c r="Q193" i="1"/>
  <c r="O193" i="1"/>
  <c r="S190" i="1"/>
  <c r="Q190" i="1"/>
  <c r="O190" i="1"/>
  <c r="S188" i="1"/>
  <c r="Q188" i="1"/>
  <c r="O188" i="1"/>
  <c r="S187" i="1"/>
  <c r="Q187" i="1"/>
  <c r="O187" i="1"/>
  <c r="S186" i="1"/>
  <c r="Q186" i="1"/>
  <c r="O186" i="1"/>
  <c r="S184" i="1"/>
  <c r="Q184" i="1"/>
  <c r="O184" i="1"/>
  <c r="S181" i="1"/>
  <c r="Q181" i="1"/>
  <c r="O181" i="1"/>
  <c r="S180" i="1"/>
  <c r="Q180" i="1"/>
  <c r="O180" i="1"/>
  <c r="S179" i="1"/>
  <c r="Q179" i="1"/>
  <c r="O179" i="1"/>
  <c r="S176" i="1"/>
  <c r="Q176" i="1"/>
  <c r="O176" i="1"/>
  <c r="S172" i="1"/>
  <c r="Q172" i="1"/>
  <c r="O172" i="1"/>
  <c r="S169" i="1"/>
  <c r="Q169" i="1"/>
  <c r="O169" i="1"/>
  <c r="S167" i="1"/>
  <c r="Q167" i="1"/>
  <c r="O167" i="1"/>
  <c r="S166" i="1"/>
  <c r="Q166" i="1"/>
  <c r="O166" i="1"/>
  <c r="S164" i="1"/>
  <c r="Q164" i="1"/>
  <c r="O164" i="1"/>
  <c r="AF6" i="1"/>
  <c r="Q126" i="1"/>
  <c r="M123" i="1"/>
  <c r="M122" i="1"/>
  <c r="M121" i="1"/>
  <c r="M41" i="1" s="1"/>
  <c r="M110" i="1"/>
  <c r="M109" i="1"/>
  <c r="M93" i="1"/>
  <c r="M13" i="1" s="1"/>
  <c r="M92" i="1"/>
  <c r="M12" i="1" s="1"/>
  <c r="M88" i="1"/>
  <c r="M86" i="1"/>
  <c r="M85" i="1"/>
  <c r="S123" i="1"/>
  <c r="S43" i="1" s="1"/>
  <c r="Q123" i="1"/>
  <c r="O123" i="1"/>
  <c r="S110" i="1"/>
  <c r="S30" i="1" s="1"/>
  <c r="Q110" i="1"/>
  <c r="O110" i="1"/>
  <c r="S92" i="1"/>
  <c r="Q92" i="1"/>
  <c r="O92" i="1"/>
  <c r="O12" i="1" s="1"/>
  <c r="S86" i="1"/>
  <c r="S6" i="1" s="1"/>
  <c r="Q86" i="1"/>
  <c r="O86" i="1"/>
  <c r="S122" i="1"/>
  <c r="S42" i="1" s="1"/>
  <c r="Q122" i="1"/>
  <c r="O122" i="1"/>
  <c r="S121" i="1"/>
  <c r="Q121" i="1"/>
  <c r="O121" i="1"/>
  <c r="S109" i="1"/>
  <c r="Q109" i="1"/>
  <c r="O109" i="1"/>
  <c r="O29" i="1" s="1"/>
  <c r="S93" i="1"/>
  <c r="Q93" i="1"/>
  <c r="O93" i="1"/>
  <c r="S88" i="1"/>
  <c r="Q88" i="1"/>
  <c r="O88" i="1"/>
  <c r="S85" i="1"/>
  <c r="Q85" i="1"/>
  <c r="O85" i="1"/>
  <c r="S141" i="1"/>
  <c r="S61" i="1" s="1"/>
  <c r="S140" i="1"/>
  <c r="S60" i="1" s="1"/>
  <c r="S139" i="1"/>
  <c r="S59" i="1" s="1"/>
  <c r="Q141" i="1"/>
  <c r="Q61" i="1" s="1"/>
  <c r="O141" i="1"/>
  <c r="O61" i="1" s="1"/>
  <c r="M141" i="1"/>
  <c r="M61" i="1" s="1"/>
  <c r="Q140" i="1"/>
  <c r="Q60" i="1" s="1"/>
  <c r="O140" i="1"/>
  <c r="O60" i="1" s="1"/>
  <c r="M140" i="1"/>
  <c r="M60" i="1" s="1"/>
  <c r="Q139" i="1"/>
  <c r="Q59" i="1" s="1"/>
  <c r="O139" i="1"/>
  <c r="O59" i="1" s="1"/>
  <c r="M139" i="1"/>
  <c r="M59" i="1" s="1"/>
  <c r="S116" i="1"/>
  <c r="S115" i="1"/>
  <c r="Q116" i="1"/>
  <c r="O116" i="1"/>
  <c r="M116" i="1"/>
  <c r="Q115" i="1"/>
  <c r="O115" i="1"/>
  <c r="M115" i="1"/>
  <c r="M126" i="1"/>
  <c r="S126" i="1"/>
  <c r="O126" i="1"/>
  <c r="S96" i="1"/>
  <c r="Q96" i="1"/>
  <c r="O96" i="1"/>
  <c r="M96" i="1"/>
  <c r="S99" i="1"/>
  <c r="S94" i="1"/>
  <c r="Q99" i="1"/>
  <c r="O99" i="1"/>
  <c r="M99" i="1"/>
  <c r="Q94" i="1"/>
  <c r="O94" i="1"/>
  <c r="S112" i="1"/>
  <c r="S32" i="1" s="1"/>
  <c r="Q112" i="1"/>
  <c r="O112" i="1"/>
  <c r="M112" i="1"/>
  <c r="S98" i="1"/>
  <c r="S18" i="1" s="1"/>
  <c r="Q98" i="1"/>
  <c r="O98" i="1"/>
  <c r="M98" i="1"/>
  <c r="S89" i="1"/>
  <c r="S9" i="1" s="1"/>
  <c r="Q89" i="1"/>
  <c r="Q9" i="1" s="1"/>
  <c r="O89" i="1"/>
  <c r="M89" i="1"/>
  <c r="S131" i="1"/>
  <c r="S51" i="1" s="1"/>
  <c r="S130" i="1"/>
  <c r="S50" i="1" s="1"/>
  <c r="S129" i="1"/>
  <c r="S49" i="1" s="1"/>
  <c r="Q131" i="1"/>
  <c r="Q51" i="1" s="1"/>
  <c r="O131" i="1"/>
  <c r="M131" i="1"/>
  <c r="M51" i="1" s="1"/>
  <c r="Q130" i="1"/>
  <c r="Q50" i="1" s="1"/>
  <c r="O130" i="1"/>
  <c r="O50" i="1" s="1"/>
  <c r="M130" i="1"/>
  <c r="M50" i="1" s="1"/>
  <c r="Q129" i="1"/>
  <c r="Q49" i="1" s="1"/>
  <c r="O129" i="1"/>
  <c r="O49" i="1" s="1"/>
  <c r="M129" i="1"/>
  <c r="M49" i="1" s="1"/>
  <c r="S127" i="1"/>
  <c r="S125" i="1"/>
  <c r="S124" i="1"/>
  <c r="S120" i="1"/>
  <c r="S118" i="1"/>
  <c r="S117" i="1"/>
  <c r="S114" i="1"/>
  <c r="S111" i="1"/>
  <c r="S108" i="1"/>
  <c r="S107" i="1"/>
  <c r="S105" i="1"/>
  <c r="S102" i="1"/>
  <c r="S101" i="1"/>
  <c r="S100" i="1"/>
  <c r="S97" i="1"/>
  <c r="S90" i="1"/>
  <c r="S87" i="1"/>
  <c r="Q127" i="1"/>
  <c r="O127" i="1"/>
  <c r="M127" i="1"/>
  <c r="M47" i="1" s="1"/>
  <c r="Q125" i="1"/>
  <c r="O125" i="1"/>
  <c r="M125" i="1"/>
  <c r="M45" i="1" s="1"/>
  <c r="Q124" i="1"/>
  <c r="O124" i="1"/>
  <c r="M124" i="1"/>
  <c r="Q120" i="1"/>
  <c r="O120" i="1"/>
  <c r="M120" i="1"/>
  <c r="Q118" i="1"/>
  <c r="O118" i="1"/>
  <c r="M118" i="1"/>
  <c r="M38" i="1" s="1"/>
  <c r="Q117" i="1"/>
  <c r="O117" i="1"/>
  <c r="M117" i="1"/>
  <c r="M37" i="1" s="1"/>
  <c r="Q114" i="1"/>
  <c r="O114" i="1"/>
  <c r="M114" i="1"/>
  <c r="Q111" i="1"/>
  <c r="O111" i="1"/>
  <c r="M111" i="1"/>
  <c r="Q108" i="1"/>
  <c r="O108" i="1"/>
  <c r="O28" i="1" s="1"/>
  <c r="M108" i="1"/>
  <c r="M28" i="1" s="1"/>
  <c r="Q107" i="1"/>
  <c r="O107" i="1"/>
  <c r="M107" i="1"/>
  <c r="M27" i="1" s="1"/>
  <c r="Q105" i="1"/>
  <c r="O105" i="1"/>
  <c r="O25" i="1" s="1"/>
  <c r="M105" i="1"/>
  <c r="Q102" i="1"/>
  <c r="O102" i="1"/>
  <c r="O22" i="1" s="1"/>
  <c r="M102" i="1"/>
  <c r="Q101" i="1"/>
  <c r="O101" i="1"/>
  <c r="O21" i="1" s="1"/>
  <c r="M101" i="1"/>
  <c r="M21" i="1" s="1"/>
  <c r="Q100" i="1"/>
  <c r="O100" i="1"/>
  <c r="M100" i="1"/>
  <c r="M20" i="1" s="1"/>
  <c r="Q97" i="1"/>
  <c r="O97" i="1"/>
  <c r="O17" i="1" s="1"/>
  <c r="M97" i="1"/>
  <c r="Q90" i="1"/>
  <c r="O90" i="1"/>
  <c r="M90" i="1"/>
  <c r="Q87" i="1"/>
  <c r="O87" i="1"/>
  <c r="M87" i="1"/>
  <c r="M7" i="1" s="1"/>
  <c r="S148" i="1"/>
  <c r="S68" i="1" s="1"/>
  <c r="S113" i="1"/>
  <c r="S33" i="1" s="1"/>
  <c r="Q148" i="1"/>
  <c r="Q68" i="1" s="1"/>
  <c r="O148" i="1"/>
  <c r="O68" i="1" s="1"/>
  <c r="M148" i="1"/>
  <c r="M68" i="1" s="1"/>
  <c r="Q113" i="1"/>
  <c r="O113" i="1"/>
  <c r="M113" i="1"/>
  <c r="M33" i="1" s="1"/>
  <c r="S146" i="1"/>
  <c r="S66" i="1" s="1"/>
  <c r="S145" i="1"/>
  <c r="S119" i="1"/>
  <c r="Q146" i="1"/>
  <c r="Q66" i="1" s="1"/>
  <c r="O146" i="1"/>
  <c r="O66" i="1" s="1"/>
  <c r="M146" i="1"/>
  <c r="M66" i="1" s="1"/>
  <c r="Q145" i="1"/>
  <c r="Q65" i="1" s="1"/>
  <c r="O145" i="1"/>
  <c r="O65" i="1" s="1"/>
  <c r="M145" i="1"/>
  <c r="M65" i="1" s="1"/>
  <c r="Q119" i="1"/>
  <c r="O119" i="1"/>
  <c r="M119" i="1"/>
  <c r="G119" i="1"/>
  <c r="AJ4" i="1"/>
  <c r="AI4" i="1"/>
  <c r="S91" i="1"/>
  <c r="S11" i="1" s="1"/>
  <c r="Q91" i="1"/>
  <c r="O91" i="1"/>
  <c r="M91" i="1"/>
  <c r="M11" i="1" s="1"/>
  <c r="S95" i="1"/>
  <c r="S15" i="1" s="1"/>
  <c r="Q95" i="1"/>
  <c r="Q15" i="1" s="1"/>
  <c r="O95" i="1"/>
  <c r="O15" i="1" s="1"/>
  <c r="M95" i="1"/>
  <c r="M15" i="1" s="1"/>
  <c r="S103" i="1"/>
  <c r="O103" i="1"/>
  <c r="Q103" i="1"/>
  <c r="M103" i="1"/>
  <c r="S104" i="1"/>
  <c r="S24" i="1" s="1"/>
  <c r="O104" i="1"/>
  <c r="O24" i="1" s="1"/>
  <c r="Q104" i="1"/>
  <c r="Q24" i="1" s="1"/>
  <c r="M104" i="1"/>
  <c r="S106" i="1"/>
  <c r="S26" i="1" s="1"/>
  <c r="O106" i="1"/>
  <c r="O26" i="1" s="1"/>
  <c r="Q106" i="1"/>
  <c r="Q26" i="1" s="1"/>
  <c r="M106" i="1"/>
  <c r="M26" i="1" s="1"/>
  <c r="S128" i="1"/>
  <c r="S48" i="1" s="1"/>
  <c r="Q128" i="1"/>
  <c r="Q48" i="1" s="1"/>
  <c r="O128" i="1"/>
  <c r="O48" i="1" s="1"/>
  <c r="M128" i="1"/>
  <c r="M48" i="1" s="1"/>
  <c r="S150" i="1"/>
  <c r="S70" i="1" s="1"/>
  <c r="Q150" i="1"/>
  <c r="Q70" i="1" s="1"/>
  <c r="O150" i="1"/>
  <c r="O70" i="1" s="1"/>
  <c r="M150" i="1"/>
  <c r="M70" i="1" s="1"/>
  <c r="L146" i="1"/>
  <c r="K146" i="1"/>
  <c r="J146" i="1"/>
  <c r="I146" i="1"/>
  <c r="H146" i="1"/>
  <c r="G146" i="1"/>
  <c r="L148" i="1"/>
  <c r="K148" i="1"/>
  <c r="J148" i="1"/>
  <c r="I148" i="1"/>
  <c r="H148" i="1"/>
  <c r="G148" i="1"/>
  <c r="L145" i="1"/>
  <c r="K145" i="1"/>
  <c r="J145" i="1"/>
  <c r="I145" i="1"/>
  <c r="H145" i="1"/>
  <c r="G145" i="1"/>
  <c r="AJ19" i="1"/>
  <c r="AJ16" i="1"/>
  <c r="AJ15" i="1"/>
  <c r="AJ14" i="1"/>
  <c r="AJ13" i="1"/>
  <c r="AJ12" i="1"/>
  <c r="AJ11" i="1"/>
  <c r="AJ10" i="1"/>
  <c r="AJ9" i="1"/>
  <c r="T171" i="1" s="1"/>
  <c r="AJ8" i="1"/>
  <c r="AJ7" i="1"/>
  <c r="AJ6" i="1"/>
  <c r="AJ5" i="1"/>
  <c r="AI19" i="1"/>
  <c r="AI16" i="1"/>
  <c r="AI15" i="1"/>
  <c r="AI14" i="1"/>
  <c r="AI13" i="1"/>
  <c r="AI12" i="1"/>
  <c r="AI11" i="1"/>
  <c r="AI10" i="1"/>
  <c r="AI9" i="1"/>
  <c r="AI8" i="1"/>
  <c r="AI7" i="1"/>
  <c r="AI6" i="1"/>
  <c r="AI5" i="1"/>
  <c r="AH19" i="1"/>
  <c r="AH18" i="1"/>
  <c r="AH16" i="1"/>
  <c r="T182" i="1" s="1"/>
  <c r="AH15" i="1"/>
  <c r="AH14" i="1"/>
  <c r="AH13" i="1"/>
  <c r="T170" i="1" s="1"/>
  <c r="AH12" i="1"/>
  <c r="AH11" i="1"/>
  <c r="AH10" i="1"/>
  <c r="AH9" i="1"/>
  <c r="AH8" i="1"/>
  <c r="AH7" i="1"/>
  <c r="AH6" i="1"/>
  <c r="AH5" i="1"/>
  <c r="AF5" i="1"/>
  <c r="AF7" i="1"/>
  <c r="AF8" i="1"/>
  <c r="AF9" i="1"/>
  <c r="AF10" i="1"/>
  <c r="T189" i="1" s="1"/>
  <c r="AF11" i="1"/>
  <c r="T202" i="1" s="1"/>
  <c r="AF12" i="1"/>
  <c r="AF13" i="1"/>
  <c r="AF14" i="1"/>
  <c r="AF15" i="1"/>
  <c r="AF16" i="1"/>
  <c r="AF17" i="1"/>
  <c r="AF18" i="1"/>
  <c r="AF19" i="1"/>
  <c r="AF4" i="1"/>
  <c r="AE5" i="1"/>
  <c r="AE6" i="1"/>
  <c r="AE7" i="1"/>
  <c r="AE8" i="1"/>
  <c r="T168" i="1" s="1"/>
  <c r="AE9" i="1"/>
  <c r="AE10" i="1"/>
  <c r="AE11" i="1"/>
  <c r="AE12" i="1"/>
  <c r="T191" i="1" s="1"/>
  <c r="AE13" i="1"/>
  <c r="T175" i="1" s="1"/>
  <c r="AE14" i="1"/>
  <c r="AE15" i="1"/>
  <c r="T205" i="1" s="1"/>
  <c r="AE16" i="1"/>
  <c r="AE17" i="1"/>
  <c r="AE18" i="1"/>
  <c r="AE19" i="1"/>
  <c r="AE4" i="1"/>
  <c r="E106" i="1"/>
  <c r="F106" i="1"/>
  <c r="F26" i="1" s="1"/>
  <c r="G106" i="1"/>
  <c r="G26" i="1" s="1"/>
  <c r="H106" i="1"/>
  <c r="H26" i="1" s="1"/>
  <c r="I106" i="1"/>
  <c r="I26" i="1" s="1"/>
  <c r="J106" i="1"/>
  <c r="J26" i="1" s="1"/>
  <c r="K106" i="1"/>
  <c r="K26" i="1" s="1"/>
  <c r="L106" i="1"/>
  <c r="L26" i="1" s="1"/>
  <c r="L141" i="1"/>
  <c r="K141" i="1"/>
  <c r="J141" i="1"/>
  <c r="I141" i="1"/>
  <c r="H141" i="1"/>
  <c r="G141" i="1"/>
  <c r="L140" i="1"/>
  <c r="K140" i="1"/>
  <c r="J140" i="1"/>
  <c r="I140" i="1"/>
  <c r="H140" i="1"/>
  <c r="G140" i="1"/>
  <c r="L139" i="1"/>
  <c r="K139" i="1"/>
  <c r="J139" i="1"/>
  <c r="I139" i="1"/>
  <c r="H139" i="1"/>
  <c r="G139" i="1"/>
  <c r="F126" i="1"/>
  <c r="F46" i="1" s="1"/>
  <c r="G126" i="1"/>
  <c r="H126" i="1"/>
  <c r="I126" i="1"/>
  <c r="J126" i="1"/>
  <c r="K126" i="1"/>
  <c r="L126" i="1"/>
  <c r="E126" i="1"/>
  <c r="L116" i="1"/>
  <c r="K116" i="1"/>
  <c r="J116" i="1"/>
  <c r="I116" i="1"/>
  <c r="H116" i="1"/>
  <c r="G116" i="1"/>
  <c r="F116" i="1"/>
  <c r="F36" i="1" s="1"/>
  <c r="E116" i="1"/>
  <c r="F115" i="1"/>
  <c r="F35" i="1" s="1"/>
  <c r="G115" i="1"/>
  <c r="H115" i="1"/>
  <c r="I115" i="1"/>
  <c r="J115" i="1"/>
  <c r="K115" i="1"/>
  <c r="L115" i="1"/>
  <c r="E115" i="1"/>
  <c r="F113" i="1"/>
  <c r="F33" i="1" s="1"/>
  <c r="G113" i="1"/>
  <c r="H113" i="1"/>
  <c r="I113" i="1"/>
  <c r="J113" i="1"/>
  <c r="K113" i="1"/>
  <c r="L113" i="1"/>
  <c r="E113" i="1"/>
  <c r="F112" i="1"/>
  <c r="F32" i="1" s="1"/>
  <c r="G112" i="1"/>
  <c r="H112" i="1"/>
  <c r="I112" i="1"/>
  <c r="J112" i="1"/>
  <c r="K112" i="1"/>
  <c r="L112" i="1"/>
  <c r="E112" i="1"/>
  <c r="E99" i="1"/>
  <c r="F98" i="1"/>
  <c r="F18" i="1" s="1"/>
  <c r="G98" i="1"/>
  <c r="H98" i="1"/>
  <c r="I98" i="1"/>
  <c r="J98" i="1"/>
  <c r="K98" i="1"/>
  <c r="L98" i="1"/>
  <c r="E98" i="1"/>
  <c r="E96" i="1"/>
  <c r="E94" i="1"/>
  <c r="E89" i="1"/>
  <c r="F96" i="1"/>
  <c r="F16" i="1" s="1"/>
  <c r="G96" i="1"/>
  <c r="H96" i="1"/>
  <c r="I96" i="1"/>
  <c r="J96" i="1"/>
  <c r="K96" i="1"/>
  <c r="L96" i="1"/>
  <c r="L99" i="1"/>
  <c r="K99" i="1"/>
  <c r="J99" i="1"/>
  <c r="I99" i="1"/>
  <c r="H99" i="1"/>
  <c r="G99" i="1"/>
  <c r="F99" i="1"/>
  <c r="F19" i="1" s="1"/>
  <c r="L94" i="1"/>
  <c r="K94" i="1"/>
  <c r="J94" i="1"/>
  <c r="I94" i="1"/>
  <c r="H94" i="1"/>
  <c r="G94" i="1"/>
  <c r="F94" i="1"/>
  <c r="F14" i="1" s="1"/>
  <c r="L89" i="1"/>
  <c r="K89" i="1"/>
  <c r="J89" i="1"/>
  <c r="I89" i="1"/>
  <c r="H89" i="1"/>
  <c r="G89" i="1"/>
  <c r="F89" i="1"/>
  <c r="F9" i="1" s="1"/>
  <c r="L136" i="1"/>
  <c r="K136" i="1"/>
  <c r="J136" i="1"/>
  <c r="I136" i="1"/>
  <c r="H136" i="1"/>
  <c r="G136" i="1"/>
  <c r="L135" i="1"/>
  <c r="K135" i="1"/>
  <c r="J135" i="1"/>
  <c r="I135" i="1"/>
  <c r="H135" i="1"/>
  <c r="G135" i="1"/>
  <c r="L134" i="1"/>
  <c r="K134" i="1"/>
  <c r="J134" i="1"/>
  <c r="I134" i="1"/>
  <c r="H134" i="1"/>
  <c r="G134" i="1"/>
  <c r="L133" i="1"/>
  <c r="K133" i="1"/>
  <c r="J133" i="1"/>
  <c r="I133" i="1"/>
  <c r="H133" i="1"/>
  <c r="G133" i="1"/>
  <c r="L132" i="1"/>
  <c r="K132" i="1"/>
  <c r="J132" i="1"/>
  <c r="I132" i="1"/>
  <c r="H132" i="1"/>
  <c r="G132" i="1"/>
  <c r="L131" i="1"/>
  <c r="K131" i="1"/>
  <c r="J131" i="1"/>
  <c r="I131" i="1"/>
  <c r="H131" i="1"/>
  <c r="G131" i="1"/>
  <c r="L130" i="1"/>
  <c r="K130" i="1"/>
  <c r="J130" i="1"/>
  <c r="I130" i="1"/>
  <c r="H130" i="1"/>
  <c r="G130" i="1"/>
  <c r="H129" i="1"/>
  <c r="I129" i="1"/>
  <c r="J129" i="1"/>
  <c r="K129" i="1"/>
  <c r="L129" i="1"/>
  <c r="G129" i="1"/>
  <c r="L127" i="1"/>
  <c r="K127" i="1"/>
  <c r="J127" i="1"/>
  <c r="I127" i="1"/>
  <c r="H127" i="1"/>
  <c r="G127" i="1"/>
  <c r="F127" i="1"/>
  <c r="F47" i="1" s="1"/>
  <c r="E127" i="1"/>
  <c r="L125" i="1"/>
  <c r="K125" i="1"/>
  <c r="J125" i="1"/>
  <c r="I125" i="1"/>
  <c r="H125" i="1"/>
  <c r="G125" i="1"/>
  <c r="F125" i="1"/>
  <c r="F45" i="1" s="1"/>
  <c r="E125" i="1"/>
  <c r="L124" i="1"/>
  <c r="K124" i="1"/>
  <c r="J124" i="1"/>
  <c r="I124" i="1"/>
  <c r="H124" i="1"/>
  <c r="G124" i="1"/>
  <c r="F124" i="1"/>
  <c r="F44" i="1" s="1"/>
  <c r="E124" i="1"/>
  <c r="L120" i="1"/>
  <c r="K120" i="1"/>
  <c r="J120" i="1"/>
  <c r="I120" i="1"/>
  <c r="H120" i="1"/>
  <c r="G120" i="1"/>
  <c r="F120" i="1"/>
  <c r="F40" i="1" s="1"/>
  <c r="E120" i="1"/>
  <c r="L118" i="1"/>
  <c r="K118" i="1"/>
  <c r="J118" i="1"/>
  <c r="I118" i="1"/>
  <c r="H118" i="1"/>
  <c r="G118" i="1"/>
  <c r="F118" i="1"/>
  <c r="F38" i="1" s="1"/>
  <c r="E118" i="1"/>
  <c r="L117" i="1"/>
  <c r="K117" i="1"/>
  <c r="J117" i="1"/>
  <c r="I117" i="1"/>
  <c r="H117" i="1"/>
  <c r="G117" i="1"/>
  <c r="F117" i="1"/>
  <c r="F37" i="1" s="1"/>
  <c r="E117" i="1"/>
  <c r="L114" i="1"/>
  <c r="K114" i="1"/>
  <c r="J114" i="1"/>
  <c r="I114" i="1"/>
  <c r="H114" i="1"/>
  <c r="G114" i="1"/>
  <c r="F114" i="1"/>
  <c r="F34" i="1" s="1"/>
  <c r="E114" i="1"/>
  <c r="L111" i="1"/>
  <c r="K111" i="1"/>
  <c r="J111" i="1"/>
  <c r="I111" i="1"/>
  <c r="H111" i="1"/>
  <c r="G111" i="1"/>
  <c r="F111" i="1"/>
  <c r="F31" i="1" s="1"/>
  <c r="E111" i="1"/>
  <c r="L108" i="1"/>
  <c r="K108" i="1"/>
  <c r="J108" i="1"/>
  <c r="I108" i="1"/>
  <c r="H108" i="1"/>
  <c r="G108" i="1"/>
  <c r="F108" i="1"/>
  <c r="F28" i="1" s="1"/>
  <c r="E108" i="1"/>
  <c r="L107" i="1"/>
  <c r="K107" i="1"/>
  <c r="J107" i="1"/>
  <c r="I107" i="1"/>
  <c r="H107" i="1"/>
  <c r="G107" i="1"/>
  <c r="F107" i="1"/>
  <c r="F27" i="1" s="1"/>
  <c r="E107" i="1"/>
  <c r="L105" i="1"/>
  <c r="K105" i="1"/>
  <c r="J105" i="1"/>
  <c r="I105" i="1"/>
  <c r="H105" i="1"/>
  <c r="G105" i="1"/>
  <c r="F105" i="1"/>
  <c r="F25" i="1" s="1"/>
  <c r="E105" i="1"/>
  <c r="L102" i="1"/>
  <c r="K102" i="1"/>
  <c r="J102" i="1"/>
  <c r="I102" i="1"/>
  <c r="H102" i="1"/>
  <c r="G102" i="1"/>
  <c r="F102" i="1"/>
  <c r="F22" i="1" s="1"/>
  <c r="E102" i="1"/>
  <c r="L101" i="1"/>
  <c r="K101" i="1"/>
  <c r="J101" i="1"/>
  <c r="I101" i="1"/>
  <c r="H101" i="1"/>
  <c r="G101" i="1"/>
  <c r="F101" i="1"/>
  <c r="F21" i="1" s="1"/>
  <c r="E101" i="1"/>
  <c r="L100" i="1"/>
  <c r="K100" i="1"/>
  <c r="J100" i="1"/>
  <c r="I100" i="1"/>
  <c r="H100" i="1"/>
  <c r="G100" i="1"/>
  <c r="F100" i="1"/>
  <c r="F20" i="1" s="1"/>
  <c r="E100" i="1"/>
  <c r="L97" i="1"/>
  <c r="K97" i="1"/>
  <c r="J97" i="1"/>
  <c r="I97" i="1"/>
  <c r="H97" i="1"/>
  <c r="G97" i="1"/>
  <c r="F97" i="1"/>
  <c r="F17" i="1" s="1"/>
  <c r="E97" i="1"/>
  <c r="L90" i="1"/>
  <c r="K90" i="1"/>
  <c r="J90" i="1"/>
  <c r="I90" i="1"/>
  <c r="H90" i="1"/>
  <c r="G90" i="1"/>
  <c r="F90" i="1"/>
  <c r="F10" i="1" s="1"/>
  <c r="E90" i="1"/>
  <c r="L87" i="1"/>
  <c r="K87" i="1"/>
  <c r="J87" i="1"/>
  <c r="I87" i="1"/>
  <c r="H87" i="1"/>
  <c r="G87" i="1"/>
  <c r="F87" i="1"/>
  <c r="F7" i="1" s="1"/>
  <c r="E87" i="1"/>
  <c r="F123" i="1"/>
  <c r="F43" i="1" s="1"/>
  <c r="G123" i="1"/>
  <c r="H123" i="1"/>
  <c r="I123" i="1"/>
  <c r="J123" i="1"/>
  <c r="K123" i="1"/>
  <c r="L123" i="1"/>
  <c r="E123" i="1"/>
  <c r="F110" i="1"/>
  <c r="F30" i="1" s="1"/>
  <c r="G110" i="1"/>
  <c r="H110" i="1"/>
  <c r="I110" i="1"/>
  <c r="J110" i="1"/>
  <c r="K110" i="1"/>
  <c r="L110" i="1"/>
  <c r="E110" i="1"/>
  <c r="F92" i="1"/>
  <c r="F12" i="1" s="1"/>
  <c r="G92" i="1"/>
  <c r="H92" i="1"/>
  <c r="I92" i="1"/>
  <c r="J92" i="1"/>
  <c r="K92" i="1"/>
  <c r="L92" i="1"/>
  <c r="E92" i="1"/>
  <c r="F86" i="1"/>
  <c r="F6" i="1" s="1"/>
  <c r="G86" i="1"/>
  <c r="H86" i="1"/>
  <c r="I86" i="1"/>
  <c r="J86" i="1"/>
  <c r="K86" i="1"/>
  <c r="L86" i="1"/>
  <c r="E86" i="1"/>
  <c r="L122" i="1"/>
  <c r="K122" i="1"/>
  <c r="J122" i="1"/>
  <c r="I122" i="1"/>
  <c r="H122" i="1"/>
  <c r="G122" i="1"/>
  <c r="F122" i="1"/>
  <c r="F42" i="1" s="1"/>
  <c r="E122" i="1"/>
  <c r="L121" i="1"/>
  <c r="K121" i="1"/>
  <c r="J121" i="1"/>
  <c r="I121" i="1"/>
  <c r="H121" i="1"/>
  <c r="G121" i="1"/>
  <c r="F121" i="1"/>
  <c r="F41" i="1" s="1"/>
  <c r="E121" i="1"/>
  <c r="L109" i="1"/>
  <c r="K109" i="1"/>
  <c r="J109" i="1"/>
  <c r="I109" i="1"/>
  <c r="H109" i="1"/>
  <c r="G109" i="1"/>
  <c r="F109" i="1"/>
  <c r="F29" i="1" s="1"/>
  <c r="E109" i="1"/>
  <c r="L93" i="1"/>
  <c r="K93" i="1"/>
  <c r="J93" i="1"/>
  <c r="I93" i="1"/>
  <c r="H93" i="1"/>
  <c r="G93" i="1"/>
  <c r="F93" i="1"/>
  <c r="F13" i="1" s="1"/>
  <c r="E93" i="1"/>
  <c r="L88" i="1"/>
  <c r="K88" i="1"/>
  <c r="J88" i="1"/>
  <c r="I88" i="1"/>
  <c r="H88" i="1"/>
  <c r="G88" i="1"/>
  <c r="F88" i="1"/>
  <c r="F8" i="1" s="1"/>
  <c r="E88" i="1"/>
  <c r="L85" i="1"/>
  <c r="K85" i="1"/>
  <c r="J85" i="1"/>
  <c r="I85" i="1"/>
  <c r="H85" i="1"/>
  <c r="G85" i="1"/>
  <c r="F85" i="1"/>
  <c r="E85" i="1"/>
  <c r="H119" i="1"/>
  <c r="I119" i="1"/>
  <c r="J119" i="1"/>
  <c r="K119" i="1"/>
  <c r="L119" i="1"/>
  <c r="H150" i="1"/>
  <c r="H70" i="1" s="1"/>
  <c r="I150" i="1"/>
  <c r="I70" i="1" s="1"/>
  <c r="J150" i="1"/>
  <c r="J70" i="1" s="1"/>
  <c r="K150" i="1"/>
  <c r="K70" i="1" s="1"/>
  <c r="L150" i="1"/>
  <c r="L70" i="1" s="1"/>
  <c r="G150" i="1"/>
  <c r="E149" i="1"/>
  <c r="J128" i="1"/>
  <c r="K128" i="1"/>
  <c r="K48" i="1" s="1"/>
  <c r="L128" i="1"/>
  <c r="L48" i="1" s="1"/>
  <c r="F103" i="1"/>
  <c r="F23" i="1" s="1"/>
  <c r="G103" i="1"/>
  <c r="H103" i="1"/>
  <c r="I103" i="1"/>
  <c r="J103" i="1"/>
  <c r="K103" i="1"/>
  <c r="L103" i="1"/>
  <c r="E103" i="1"/>
  <c r="F95" i="1"/>
  <c r="F15" i="1" s="1"/>
  <c r="G95" i="1"/>
  <c r="G15" i="1" s="1"/>
  <c r="H95" i="1"/>
  <c r="H15" i="1" s="1"/>
  <c r="I95" i="1"/>
  <c r="I15" i="1" s="1"/>
  <c r="J95" i="1"/>
  <c r="J15" i="1" s="1"/>
  <c r="K95" i="1"/>
  <c r="K15" i="1" s="1"/>
  <c r="L95" i="1"/>
  <c r="L15" i="1" s="1"/>
  <c r="E95" i="1"/>
  <c r="F91" i="1"/>
  <c r="F11" i="1" s="1"/>
  <c r="G91" i="1"/>
  <c r="H91" i="1"/>
  <c r="I91" i="1"/>
  <c r="J91" i="1"/>
  <c r="K91" i="1"/>
  <c r="L91" i="1"/>
  <c r="E91" i="1"/>
  <c r="H104" i="1"/>
  <c r="H24" i="1" s="1"/>
  <c r="I104" i="1"/>
  <c r="I24" i="1" s="1"/>
  <c r="J104" i="1"/>
  <c r="J24" i="1" s="1"/>
  <c r="K104" i="1"/>
  <c r="K24" i="1" s="1"/>
  <c r="L104" i="1"/>
  <c r="L24" i="1" s="1"/>
  <c r="G104" i="1"/>
  <c r="N85" i="2"/>
  <c r="T194" i="1" l="1"/>
  <c r="T195" i="1"/>
  <c r="J55" i="1"/>
  <c r="T177" i="1"/>
  <c r="T165" i="1"/>
  <c r="T226" i="1"/>
  <c r="T67" i="1" s="1"/>
  <c r="T198" i="1"/>
  <c r="T225" i="1"/>
  <c r="T66" i="1" s="1"/>
  <c r="T224" i="1"/>
  <c r="T65" i="1" s="1"/>
  <c r="L51" i="1"/>
  <c r="T166" i="1"/>
  <c r="T184" i="1"/>
  <c r="T25" i="1" s="1"/>
  <c r="T193" i="1"/>
  <c r="T199" i="1"/>
  <c r="T176" i="1"/>
  <c r="T186" i="1"/>
  <c r="T187" i="1"/>
  <c r="T203" i="1"/>
  <c r="T169" i="1"/>
  <c r="T196" i="1"/>
  <c r="T37" i="1" s="1"/>
  <c r="T204" i="1"/>
  <c r="T179" i="1"/>
  <c r="T197" i="1"/>
  <c r="T180" i="1"/>
  <c r="T190" i="1"/>
  <c r="T206" i="1"/>
  <c r="T181" i="1"/>
  <c r="G65" i="1"/>
  <c r="O51" i="1"/>
  <c r="G52" i="1"/>
  <c r="L66" i="1"/>
  <c r="T227" i="1"/>
  <c r="T68" i="1" s="1"/>
  <c r="T192" i="1"/>
  <c r="H52" i="1"/>
  <c r="T218" i="1"/>
  <c r="T59" i="1" s="1"/>
  <c r="T219" i="1"/>
  <c r="T60" i="1" s="1"/>
  <c r="T220" i="1"/>
  <c r="T61" i="1" s="1"/>
  <c r="I56" i="1"/>
  <c r="G208" i="1"/>
  <c r="G49" i="1" s="1"/>
  <c r="T210" i="1"/>
  <c r="T51" i="1" s="1"/>
  <c r="T211" i="1"/>
  <c r="T52" i="1" s="1"/>
  <c r="N216" i="1"/>
  <c r="N57" i="1" s="1"/>
  <c r="T212" i="1"/>
  <c r="T53" i="1" s="1"/>
  <c r="N217" i="1"/>
  <c r="N58" i="1" s="1"/>
  <c r="V58" i="1" s="1"/>
  <c r="T213" i="1"/>
  <c r="T54" i="1" s="1"/>
  <c r="T216" i="1"/>
  <c r="T57" i="1" s="1"/>
  <c r="T214" i="1"/>
  <c r="T55" i="1" s="1"/>
  <c r="T208" i="1"/>
  <c r="T49" i="1" s="1"/>
  <c r="T215" i="1"/>
  <c r="T56" i="1" s="1"/>
  <c r="T209" i="1"/>
  <c r="T50" i="1" s="1"/>
  <c r="T217" i="1"/>
  <c r="T58" i="1" s="1"/>
  <c r="J65" i="1"/>
  <c r="S65" i="1"/>
  <c r="T167" i="1"/>
  <c r="T164" i="1"/>
  <c r="T188" i="1"/>
  <c r="T200" i="1"/>
  <c r="T172" i="1"/>
  <c r="T13" i="1" s="1"/>
  <c r="L59" i="1"/>
  <c r="T221" i="1"/>
  <c r="T62" i="1" s="1"/>
  <c r="T222" i="1"/>
  <c r="T63" i="1" s="1"/>
  <c r="T223" i="1"/>
  <c r="T64" i="1" s="1"/>
  <c r="T201" i="1"/>
  <c r="K55" i="1"/>
  <c r="I61" i="1"/>
  <c r="T178" i="1"/>
  <c r="T173" i="1"/>
  <c r="S22" i="1"/>
  <c r="Q30" i="1"/>
  <c r="Q6" i="1"/>
  <c r="Q32" i="1"/>
  <c r="O34" i="1"/>
  <c r="O8" i="1"/>
  <c r="O11" i="1"/>
  <c r="O41" i="1"/>
  <c r="O20" i="1"/>
  <c r="O27" i="1"/>
  <c r="Q20" i="1"/>
  <c r="Q27" i="1"/>
  <c r="Q37" i="1"/>
  <c r="S8" i="1"/>
  <c r="Q11" i="1"/>
  <c r="S39" i="1"/>
  <c r="O13" i="1"/>
  <c r="V91" i="1"/>
  <c r="U91" i="1"/>
  <c r="V95" i="1"/>
  <c r="U95" i="1"/>
  <c r="R220" i="1"/>
  <c r="R61" i="1" s="1"/>
  <c r="P220" i="1"/>
  <c r="P61" i="1" s="1"/>
  <c r="P219" i="1"/>
  <c r="P60" i="1" s="1"/>
  <c r="R219" i="1"/>
  <c r="R60" i="1" s="1"/>
  <c r="P218" i="1"/>
  <c r="P59" i="1" s="1"/>
  <c r="N220" i="1"/>
  <c r="N61" i="1" s="1"/>
  <c r="N219" i="1"/>
  <c r="N60" i="1" s="1"/>
  <c r="R218" i="1"/>
  <c r="R59" i="1" s="1"/>
  <c r="N218" i="1"/>
  <c r="N59" i="1" s="1"/>
  <c r="T43" i="1"/>
  <c r="P202" i="1"/>
  <c r="P43" i="1" s="1"/>
  <c r="R202" i="1"/>
  <c r="R43" i="1" s="1"/>
  <c r="N202" i="1"/>
  <c r="N43" i="1" s="1"/>
  <c r="V85" i="1"/>
  <c r="U85" i="1"/>
  <c r="V88" i="1"/>
  <c r="U88" i="1"/>
  <c r="V93" i="1"/>
  <c r="U93" i="1"/>
  <c r="V109" i="1"/>
  <c r="U109" i="1"/>
  <c r="V121" i="1"/>
  <c r="U121" i="1"/>
  <c r="V122" i="1"/>
  <c r="U122" i="1"/>
  <c r="V86" i="1"/>
  <c r="U86" i="1"/>
  <c r="V92" i="1"/>
  <c r="U92" i="1"/>
  <c r="V110" i="1"/>
  <c r="U110" i="1"/>
  <c r="V123" i="1"/>
  <c r="U123" i="1"/>
  <c r="U87" i="1"/>
  <c r="V87" i="1"/>
  <c r="V90" i="1"/>
  <c r="U90" i="1"/>
  <c r="V97" i="1"/>
  <c r="U97" i="1"/>
  <c r="V100" i="1"/>
  <c r="U100" i="1"/>
  <c r="V101" i="1"/>
  <c r="U101" i="1"/>
  <c r="V102" i="1"/>
  <c r="U102" i="1"/>
  <c r="V105" i="1"/>
  <c r="U105" i="1"/>
  <c r="V107" i="1"/>
  <c r="U107" i="1"/>
  <c r="V108" i="1"/>
  <c r="U108" i="1"/>
  <c r="V111" i="1"/>
  <c r="U111" i="1"/>
  <c r="V114" i="1"/>
  <c r="U114" i="1"/>
  <c r="V117" i="1"/>
  <c r="U117" i="1"/>
  <c r="V118" i="1"/>
  <c r="U118" i="1"/>
  <c r="V120" i="1"/>
  <c r="U120" i="1"/>
  <c r="V124" i="1"/>
  <c r="U124" i="1"/>
  <c r="V125" i="1"/>
  <c r="U125" i="1"/>
  <c r="V127" i="1"/>
  <c r="U127" i="1"/>
  <c r="V129" i="1"/>
  <c r="U129" i="1"/>
  <c r="V131" i="1"/>
  <c r="U131" i="1"/>
  <c r="V133" i="1"/>
  <c r="U133" i="1"/>
  <c r="U135" i="1"/>
  <c r="V135" i="1"/>
  <c r="V137" i="1"/>
  <c r="U137" i="1"/>
  <c r="V89" i="1"/>
  <c r="U89" i="1"/>
  <c r="V112" i="1"/>
  <c r="U112" i="1"/>
  <c r="V113" i="1"/>
  <c r="U113" i="1"/>
  <c r="V115" i="1"/>
  <c r="U115" i="1"/>
  <c r="V116" i="1"/>
  <c r="U116" i="1"/>
  <c r="V126" i="1"/>
  <c r="U126" i="1"/>
  <c r="V139" i="1"/>
  <c r="U139" i="1"/>
  <c r="V141" i="1"/>
  <c r="U141" i="1"/>
  <c r="R217" i="1"/>
  <c r="R58" i="1" s="1"/>
  <c r="R213" i="1"/>
  <c r="R54" i="1" s="1"/>
  <c r="R209" i="1"/>
  <c r="R50" i="1" s="1"/>
  <c r="P217" i="1"/>
  <c r="P58" i="1" s="1"/>
  <c r="P213" i="1"/>
  <c r="P54" i="1" s="1"/>
  <c r="P209" i="1"/>
  <c r="P50" i="1" s="1"/>
  <c r="R216" i="1"/>
  <c r="R57" i="1" s="1"/>
  <c r="R212" i="1"/>
  <c r="R53" i="1" s="1"/>
  <c r="R208" i="1"/>
  <c r="R49" i="1" s="1"/>
  <c r="P216" i="1"/>
  <c r="P57" i="1" s="1"/>
  <c r="P212" i="1"/>
  <c r="P53" i="1" s="1"/>
  <c r="P208" i="1"/>
  <c r="P49" i="1" s="1"/>
  <c r="R215" i="1"/>
  <c r="R56" i="1" s="1"/>
  <c r="P211" i="1"/>
  <c r="P52" i="1" s="1"/>
  <c r="N213" i="1"/>
  <c r="N54" i="1" s="1"/>
  <c r="N209" i="1"/>
  <c r="N50" i="1" s="1"/>
  <c r="R211" i="1"/>
  <c r="R52" i="1" s="1"/>
  <c r="N215" i="1"/>
  <c r="N56" i="1" s="1"/>
  <c r="R214" i="1"/>
  <c r="R55" i="1" s="1"/>
  <c r="P210" i="1"/>
  <c r="P51" i="1" s="1"/>
  <c r="N212" i="1"/>
  <c r="N53" i="1" s="1"/>
  <c r="N208" i="1"/>
  <c r="N49" i="1" s="1"/>
  <c r="P215" i="1"/>
  <c r="P56" i="1" s="1"/>
  <c r="N211" i="1"/>
  <c r="N52" i="1" s="1"/>
  <c r="N210" i="1"/>
  <c r="N51" i="1" s="1"/>
  <c r="P214" i="1"/>
  <c r="P55" i="1" s="1"/>
  <c r="R210" i="1"/>
  <c r="R51" i="1" s="1"/>
  <c r="N214" i="1"/>
  <c r="N55" i="1" s="1"/>
  <c r="T36" i="1"/>
  <c r="R195" i="1"/>
  <c r="R36" i="1" s="1"/>
  <c r="P195" i="1"/>
  <c r="P36" i="1" s="1"/>
  <c r="T35" i="1"/>
  <c r="P194" i="1"/>
  <c r="P35" i="1" s="1"/>
  <c r="N194" i="1"/>
  <c r="N35" i="1" s="1"/>
  <c r="N195" i="1"/>
  <c r="N36" i="1" s="1"/>
  <c r="R194" i="1"/>
  <c r="R35" i="1" s="1"/>
  <c r="T33" i="1"/>
  <c r="R192" i="1"/>
  <c r="R33" i="1" s="1"/>
  <c r="P192" i="1"/>
  <c r="P33" i="1" s="1"/>
  <c r="P227" i="1"/>
  <c r="P68" i="1" s="1"/>
  <c r="N192" i="1"/>
  <c r="N33" i="1" s="1"/>
  <c r="R227" i="1"/>
  <c r="R68" i="1" s="1"/>
  <c r="N227" i="1"/>
  <c r="N68" i="1" s="1"/>
  <c r="R189" i="1"/>
  <c r="R30" i="1" s="1"/>
  <c r="P189" i="1"/>
  <c r="P30" i="1" s="1"/>
  <c r="T30" i="1"/>
  <c r="N189" i="1"/>
  <c r="N30" i="1" s="1"/>
  <c r="T41" i="1"/>
  <c r="T29" i="1"/>
  <c r="R200" i="1"/>
  <c r="R41" i="1" s="1"/>
  <c r="R188" i="1"/>
  <c r="R29" i="1" s="1"/>
  <c r="P200" i="1"/>
  <c r="P41" i="1" s="1"/>
  <c r="P188" i="1"/>
  <c r="P29" i="1" s="1"/>
  <c r="R172" i="1"/>
  <c r="R13" i="1" s="1"/>
  <c r="R164" i="1"/>
  <c r="T8" i="1"/>
  <c r="N200" i="1"/>
  <c r="N41" i="1" s="1"/>
  <c r="N188" i="1"/>
  <c r="N29" i="1" s="1"/>
  <c r="R167" i="1"/>
  <c r="R8" i="1" s="1"/>
  <c r="P167" i="1"/>
  <c r="P8" i="1" s="1"/>
  <c r="N167" i="1"/>
  <c r="N8" i="1" s="1"/>
  <c r="P164" i="1"/>
  <c r="N172" i="1"/>
  <c r="N13" i="1" s="1"/>
  <c r="N164" i="1"/>
  <c r="P172" i="1"/>
  <c r="P13" i="1" s="1"/>
  <c r="T23" i="1"/>
  <c r="R182" i="1"/>
  <c r="R23" i="1" s="1"/>
  <c r="P182" i="1"/>
  <c r="P23" i="1" s="1"/>
  <c r="N182" i="1"/>
  <c r="N23" i="1" s="1"/>
  <c r="U230" i="1"/>
  <c r="V230" i="1"/>
  <c r="U232" i="1"/>
  <c r="V232" i="1"/>
  <c r="U103" i="1"/>
  <c r="V103" i="1"/>
  <c r="R205" i="1"/>
  <c r="R46" i="1" s="1"/>
  <c r="N205" i="1"/>
  <c r="N46" i="1" s="1"/>
  <c r="P205" i="1"/>
  <c r="P46" i="1" s="1"/>
  <c r="T46" i="1"/>
  <c r="V145" i="1"/>
  <c r="U145" i="1"/>
  <c r="V148" i="1"/>
  <c r="U148" i="1"/>
  <c r="V154" i="1"/>
  <c r="U154" i="1"/>
  <c r="R225" i="1"/>
  <c r="R66" i="1" s="1"/>
  <c r="P225" i="1"/>
  <c r="P66" i="1" s="1"/>
  <c r="R224" i="1"/>
  <c r="R65" i="1" s="1"/>
  <c r="P224" i="1"/>
  <c r="P65" i="1" s="1"/>
  <c r="R198" i="1"/>
  <c r="R39" i="1" s="1"/>
  <c r="N225" i="1"/>
  <c r="N66" i="1" s="1"/>
  <c r="T39" i="1"/>
  <c r="P226" i="1"/>
  <c r="P67" i="1" s="1"/>
  <c r="N224" i="1"/>
  <c r="N65" i="1" s="1"/>
  <c r="P198" i="1"/>
  <c r="P39" i="1" s="1"/>
  <c r="N198" i="1"/>
  <c r="N39" i="1" s="1"/>
  <c r="R226" i="1"/>
  <c r="R67" i="1" s="1"/>
  <c r="N226" i="1"/>
  <c r="N67" i="1" s="1"/>
  <c r="G24" i="1"/>
  <c r="V104" i="1"/>
  <c r="U104" i="1"/>
  <c r="V142" i="1"/>
  <c r="U142" i="1"/>
  <c r="V94" i="1"/>
  <c r="U94" i="1"/>
  <c r="V106" i="1"/>
  <c r="U106" i="1"/>
  <c r="R221" i="1"/>
  <c r="R62" i="1" s="1"/>
  <c r="P221" i="1"/>
  <c r="P62" i="1" s="1"/>
  <c r="R223" i="1"/>
  <c r="R64" i="1" s="1"/>
  <c r="N221" i="1"/>
  <c r="N62" i="1" s="1"/>
  <c r="P223" i="1"/>
  <c r="P64" i="1" s="1"/>
  <c r="N223" i="1"/>
  <c r="N64" i="1" s="1"/>
  <c r="V64" i="1" s="1"/>
  <c r="R222" i="1"/>
  <c r="R63" i="1" s="1"/>
  <c r="P222" i="1"/>
  <c r="P63" i="1" s="1"/>
  <c r="N222" i="1"/>
  <c r="N63" i="1" s="1"/>
  <c r="V63" i="1" s="1"/>
  <c r="T16" i="1"/>
  <c r="P175" i="1"/>
  <c r="P16" i="1" s="1"/>
  <c r="N175" i="1"/>
  <c r="N16" i="1" s="1"/>
  <c r="R175" i="1"/>
  <c r="R16" i="1" s="1"/>
  <c r="T45" i="1"/>
  <c r="T10" i="1"/>
  <c r="R204" i="1"/>
  <c r="R45" i="1" s="1"/>
  <c r="R196" i="1"/>
  <c r="R37" i="1" s="1"/>
  <c r="R169" i="1"/>
  <c r="R10" i="1" s="1"/>
  <c r="P204" i="1"/>
  <c r="P45" i="1" s="1"/>
  <c r="P196" i="1"/>
  <c r="P37" i="1" s="1"/>
  <c r="P169" i="1"/>
  <c r="P10" i="1" s="1"/>
  <c r="T44" i="1"/>
  <c r="T40" i="1"/>
  <c r="T28" i="1"/>
  <c r="T22" i="1"/>
  <c r="R203" i="1"/>
  <c r="R44" i="1" s="1"/>
  <c r="R199" i="1"/>
  <c r="R40" i="1" s="1"/>
  <c r="R187" i="1"/>
  <c r="R28" i="1" s="1"/>
  <c r="R181" i="1"/>
  <c r="R22" i="1" s="1"/>
  <c r="P203" i="1"/>
  <c r="P44" i="1" s="1"/>
  <c r="P199" i="1"/>
  <c r="P40" i="1" s="1"/>
  <c r="P187" i="1"/>
  <c r="P28" i="1" s="1"/>
  <c r="P181" i="1"/>
  <c r="P22" i="1" s="1"/>
  <c r="T27" i="1"/>
  <c r="T17" i="1"/>
  <c r="R206" i="1"/>
  <c r="R47" i="1" s="1"/>
  <c r="R190" i="1"/>
  <c r="R31" i="1" s="1"/>
  <c r="R180" i="1"/>
  <c r="R21" i="1" s="1"/>
  <c r="P186" i="1"/>
  <c r="P27" i="1" s="1"/>
  <c r="P176" i="1"/>
  <c r="P17" i="1" s="1"/>
  <c r="N204" i="1"/>
  <c r="N45" i="1" s="1"/>
  <c r="N196" i="1"/>
  <c r="N37" i="1" s="1"/>
  <c r="N169" i="1"/>
  <c r="N10" i="1" s="1"/>
  <c r="T47" i="1"/>
  <c r="T21" i="1"/>
  <c r="R186" i="1"/>
  <c r="R27" i="1" s="1"/>
  <c r="R176" i="1"/>
  <c r="R17" i="1" s="1"/>
  <c r="P206" i="1"/>
  <c r="P47" i="1" s="1"/>
  <c r="P190" i="1"/>
  <c r="P31" i="1" s="1"/>
  <c r="P180" i="1"/>
  <c r="P21" i="1" s="1"/>
  <c r="N186" i="1"/>
  <c r="N27" i="1" s="1"/>
  <c r="N176" i="1"/>
  <c r="N17" i="1" s="1"/>
  <c r="T34" i="1"/>
  <c r="T7" i="1"/>
  <c r="R197" i="1"/>
  <c r="R38" i="1" s="1"/>
  <c r="R179" i="1"/>
  <c r="R20" i="1" s="1"/>
  <c r="P193" i="1"/>
  <c r="P34" i="1" s="1"/>
  <c r="P184" i="1"/>
  <c r="P25" i="1" s="1"/>
  <c r="N203" i="1"/>
  <c r="N44" i="1" s="1"/>
  <c r="N199" i="1"/>
  <c r="N40" i="1" s="1"/>
  <c r="N187" i="1"/>
  <c r="N28" i="1" s="1"/>
  <c r="N181" i="1"/>
  <c r="N22" i="1" s="1"/>
  <c r="T31" i="1"/>
  <c r="N206" i="1"/>
  <c r="N47" i="1" s="1"/>
  <c r="N190" i="1"/>
  <c r="N31" i="1" s="1"/>
  <c r="N180" i="1"/>
  <c r="N21" i="1" s="1"/>
  <c r="T38" i="1"/>
  <c r="R193" i="1"/>
  <c r="R34" i="1" s="1"/>
  <c r="N193" i="1"/>
  <c r="N34" i="1" s="1"/>
  <c r="R184" i="1"/>
  <c r="R25" i="1" s="1"/>
  <c r="P179" i="1"/>
  <c r="P20" i="1" s="1"/>
  <c r="T20" i="1"/>
  <c r="N184" i="1"/>
  <c r="N25" i="1" s="1"/>
  <c r="N166" i="1"/>
  <c r="N7" i="1" s="1"/>
  <c r="R166" i="1"/>
  <c r="R7" i="1" s="1"/>
  <c r="P197" i="1"/>
  <c r="P38" i="1" s="1"/>
  <c r="P166" i="1"/>
  <c r="P7" i="1" s="1"/>
  <c r="N197" i="1"/>
  <c r="N38" i="1" s="1"/>
  <c r="N179" i="1"/>
  <c r="N20" i="1" s="1"/>
  <c r="P170" i="1"/>
  <c r="P11" i="1" s="1"/>
  <c r="R170" i="1"/>
  <c r="R11" i="1" s="1"/>
  <c r="N170" i="1"/>
  <c r="N11" i="1" s="1"/>
  <c r="T11" i="1"/>
  <c r="R171" i="1"/>
  <c r="R12" i="1" s="1"/>
  <c r="T12" i="1"/>
  <c r="N171" i="1"/>
  <c r="N12" i="1" s="1"/>
  <c r="P171" i="1"/>
  <c r="P12" i="1" s="1"/>
  <c r="U151" i="1"/>
  <c r="V151" i="1"/>
  <c r="U147" i="1"/>
  <c r="V147" i="1"/>
  <c r="V146" i="1"/>
  <c r="U146" i="1"/>
  <c r="V153" i="1"/>
  <c r="U153" i="1"/>
  <c r="U119" i="1"/>
  <c r="V119" i="1"/>
  <c r="O44" i="1"/>
  <c r="Q45" i="1"/>
  <c r="H201" i="1"/>
  <c r="H42" i="1" s="1"/>
  <c r="T42" i="1"/>
  <c r="P201" i="1"/>
  <c r="P42" i="1" s="1"/>
  <c r="N201" i="1"/>
  <c r="N42" i="1" s="1"/>
  <c r="R201" i="1"/>
  <c r="R42" i="1" s="1"/>
  <c r="V150" i="1"/>
  <c r="U150" i="1"/>
  <c r="V143" i="1"/>
  <c r="U143" i="1"/>
  <c r="V98" i="1"/>
  <c r="U98" i="1"/>
  <c r="V99" i="1"/>
  <c r="U99" i="1"/>
  <c r="J177" i="1"/>
  <c r="T6" i="1"/>
  <c r="R165" i="1"/>
  <c r="R6" i="1" s="1"/>
  <c r="T18" i="1"/>
  <c r="R177" i="1"/>
  <c r="R18" i="1" s="1"/>
  <c r="P177" i="1"/>
  <c r="P18" i="1" s="1"/>
  <c r="P165" i="1"/>
  <c r="P6" i="1" s="1"/>
  <c r="N165" i="1"/>
  <c r="N6" i="1" s="1"/>
  <c r="N177" i="1"/>
  <c r="N18" i="1" s="1"/>
  <c r="V128" i="1"/>
  <c r="U128" i="1"/>
  <c r="U144" i="1"/>
  <c r="V144" i="1"/>
  <c r="V149" i="1"/>
  <c r="U149" i="1"/>
  <c r="V130" i="1"/>
  <c r="U130" i="1"/>
  <c r="V132" i="1"/>
  <c r="U132" i="1"/>
  <c r="V134" i="1"/>
  <c r="U134" i="1"/>
  <c r="V136" i="1"/>
  <c r="U136" i="1"/>
  <c r="V138" i="1"/>
  <c r="U138" i="1"/>
  <c r="V96" i="1"/>
  <c r="U96" i="1"/>
  <c r="V140" i="1"/>
  <c r="U140" i="1"/>
  <c r="I178" i="1"/>
  <c r="I19" i="1" s="1"/>
  <c r="T19" i="1"/>
  <c r="T14" i="1"/>
  <c r="R178" i="1"/>
  <c r="R19" i="1" s="1"/>
  <c r="R173" i="1"/>
  <c r="R14" i="1" s="1"/>
  <c r="P178" i="1"/>
  <c r="P19" i="1" s="1"/>
  <c r="P173" i="1"/>
  <c r="P14" i="1" s="1"/>
  <c r="N178" i="1"/>
  <c r="N19" i="1" s="1"/>
  <c r="N173" i="1"/>
  <c r="N14" i="1" s="1"/>
  <c r="G191" i="1"/>
  <c r="T32" i="1"/>
  <c r="R191" i="1"/>
  <c r="R32" i="1" s="1"/>
  <c r="P191" i="1"/>
  <c r="P32" i="1" s="1"/>
  <c r="N191" i="1"/>
  <c r="N32" i="1" s="1"/>
  <c r="H168" i="1"/>
  <c r="H9" i="1" s="1"/>
  <c r="T9" i="1"/>
  <c r="R168" i="1"/>
  <c r="R9" i="1" s="1"/>
  <c r="P168" i="1"/>
  <c r="P9" i="1" s="1"/>
  <c r="N168" i="1"/>
  <c r="N9" i="1" s="1"/>
  <c r="V152" i="1"/>
  <c r="U152" i="1"/>
  <c r="O10" i="1"/>
  <c r="S31" i="1"/>
  <c r="S40" i="1"/>
  <c r="V231" i="1"/>
  <c r="U231" i="1"/>
  <c r="V233" i="1"/>
  <c r="U233" i="1"/>
  <c r="G172" i="1"/>
  <c r="O37" i="1"/>
  <c r="O31" i="1"/>
  <c r="O40" i="1"/>
  <c r="O7" i="1"/>
  <c r="O38" i="1"/>
  <c r="O47" i="1"/>
  <c r="S10" i="1"/>
  <c r="Q39" i="1"/>
  <c r="Q33" i="1"/>
  <c r="O45" i="1"/>
  <c r="Q18" i="1"/>
  <c r="Q8" i="1"/>
  <c r="Q42" i="1"/>
  <c r="Q43" i="1"/>
  <c r="M23" i="1"/>
  <c r="S23" i="1"/>
  <c r="O23" i="1"/>
  <c r="Q44" i="1"/>
  <c r="M18" i="1"/>
  <c r="Q41" i="1"/>
  <c r="K206" i="1"/>
  <c r="K47" i="1" s="1"/>
  <c r="O39" i="1"/>
  <c r="O33" i="1"/>
  <c r="Q10" i="1"/>
  <c r="Q22" i="1"/>
  <c r="Q31" i="1"/>
  <c r="Q40" i="1"/>
  <c r="O9" i="1"/>
  <c r="O18" i="1"/>
  <c r="O32" i="1"/>
  <c r="Q29" i="1"/>
  <c r="O6" i="1"/>
  <c r="Q17" i="1"/>
  <c r="Q25" i="1"/>
  <c r="Q34" i="1"/>
  <c r="M9" i="1"/>
  <c r="M32" i="1"/>
  <c r="J18" i="1"/>
  <c r="I201" i="1"/>
  <c r="I42" i="1" s="1"/>
  <c r="Q23" i="1"/>
  <c r="Q7" i="1"/>
  <c r="Q21" i="1"/>
  <c r="Q28" i="1"/>
  <c r="Q38" i="1"/>
  <c r="Q47" i="1"/>
  <c r="Q13" i="1"/>
  <c r="I157" i="1"/>
  <c r="E8" i="1"/>
  <c r="E41" i="1"/>
  <c r="E12" i="1"/>
  <c r="E10" i="1"/>
  <c r="E17" i="1"/>
  <c r="E21" i="1"/>
  <c r="E27" i="1"/>
  <c r="E31" i="1"/>
  <c r="E38" i="1"/>
  <c r="E45" i="1"/>
  <c r="E9" i="1"/>
  <c r="E33" i="1"/>
  <c r="E46" i="1"/>
  <c r="M39" i="1"/>
  <c r="Q5" i="1"/>
  <c r="Q157" i="1"/>
  <c r="F157" i="1"/>
  <c r="F5" i="1"/>
  <c r="F78" i="1" s="1"/>
  <c r="E157" i="1"/>
  <c r="E13" i="1"/>
  <c r="E29" i="1"/>
  <c r="E42" i="1"/>
  <c r="E6" i="1"/>
  <c r="E30" i="1"/>
  <c r="E43" i="1"/>
  <c r="E7" i="1"/>
  <c r="E20" i="1"/>
  <c r="E22" i="1"/>
  <c r="E25" i="1"/>
  <c r="E28" i="1"/>
  <c r="E34" i="1"/>
  <c r="E37" i="1"/>
  <c r="E40" i="1"/>
  <c r="E44" i="1"/>
  <c r="E47" i="1"/>
  <c r="E32" i="1"/>
  <c r="E35" i="1"/>
  <c r="E36" i="1"/>
  <c r="J48" i="1"/>
  <c r="J157" i="1"/>
  <c r="S17" i="1"/>
  <c r="S25" i="1"/>
  <c r="S44" i="1"/>
  <c r="Q35" i="1"/>
  <c r="S157" i="1"/>
  <c r="S5" i="1"/>
  <c r="Q12" i="1"/>
  <c r="M5" i="1"/>
  <c r="M157" i="1"/>
  <c r="E69" i="1"/>
  <c r="G157" i="1"/>
  <c r="K157" i="1"/>
  <c r="E16" i="1"/>
  <c r="M17" i="1"/>
  <c r="M25" i="1"/>
  <c r="M34" i="1"/>
  <c r="M44" i="1"/>
  <c r="S20" i="1"/>
  <c r="S27" i="1"/>
  <c r="S37" i="1"/>
  <c r="S45" i="1"/>
  <c r="S29" i="1"/>
  <c r="O42" i="1"/>
  <c r="S12" i="1"/>
  <c r="O43" i="1"/>
  <c r="M6" i="1"/>
  <c r="M29" i="1"/>
  <c r="M43" i="1"/>
  <c r="K191" i="1"/>
  <c r="K32" i="1" s="1"/>
  <c r="E14" i="1"/>
  <c r="E26" i="1"/>
  <c r="M24" i="1"/>
  <c r="S34" i="1"/>
  <c r="S41" i="1"/>
  <c r="M42" i="1"/>
  <c r="E11" i="1"/>
  <c r="E15" i="1"/>
  <c r="E23" i="1"/>
  <c r="G70" i="1"/>
  <c r="H157" i="1"/>
  <c r="L157" i="1"/>
  <c r="E18" i="1"/>
  <c r="E19" i="1"/>
  <c r="K205" i="1"/>
  <c r="K46" i="1" s="1"/>
  <c r="G187" i="1"/>
  <c r="G175" i="1"/>
  <c r="M10" i="1"/>
  <c r="M22" i="1"/>
  <c r="M31" i="1"/>
  <c r="M40" i="1"/>
  <c r="S7" i="1"/>
  <c r="S21" i="1"/>
  <c r="S28" i="1"/>
  <c r="S38" i="1"/>
  <c r="S47" i="1"/>
  <c r="O157" i="1"/>
  <c r="O5" i="1"/>
  <c r="S13" i="1"/>
  <c r="O30" i="1"/>
  <c r="M8" i="1"/>
  <c r="M30" i="1"/>
  <c r="J201" i="1"/>
  <c r="J42" i="1" s="1"/>
  <c r="G224" i="1"/>
  <c r="L166" i="1"/>
  <c r="L7" i="1" s="1"/>
  <c r="J196" i="1"/>
  <c r="J37" i="1" s="1"/>
  <c r="K219" i="1"/>
  <c r="K60" i="1" s="1"/>
  <c r="K224" i="1"/>
  <c r="K65" i="1" s="1"/>
  <c r="K169" i="1"/>
  <c r="K10" i="1" s="1"/>
  <c r="I181" i="1"/>
  <c r="I22" i="1" s="1"/>
  <c r="L187" i="1"/>
  <c r="L28" i="1" s="1"/>
  <c r="I197" i="1"/>
  <c r="I38" i="1" s="1"/>
  <c r="Q14" i="1"/>
  <c r="K165" i="1"/>
  <c r="K6" i="1" s="1"/>
  <c r="K225" i="1"/>
  <c r="K66" i="1" s="1"/>
  <c r="I180" i="1"/>
  <c r="I21" i="1" s="1"/>
  <c r="I204" i="1"/>
  <c r="I45" i="1" s="1"/>
  <c r="G206" i="1"/>
  <c r="G198" i="1"/>
  <c r="L224" i="1"/>
  <c r="L65" i="1" s="1"/>
  <c r="K176" i="1"/>
  <c r="K17" i="1" s="1"/>
  <c r="H184" i="1"/>
  <c r="H25" i="1" s="1"/>
  <c r="K190" i="1"/>
  <c r="K31" i="1" s="1"/>
  <c r="I199" i="1"/>
  <c r="I40" i="1" s="1"/>
  <c r="G173" i="1"/>
  <c r="Q19" i="1"/>
  <c r="K198" i="1"/>
  <c r="K39" i="1" s="1"/>
  <c r="J225" i="1"/>
  <c r="J66" i="1" s="1"/>
  <c r="G166" i="1"/>
  <c r="J179" i="1"/>
  <c r="J20" i="1" s="1"/>
  <c r="G186" i="1"/>
  <c r="K193" i="1"/>
  <c r="K34" i="1" s="1"/>
  <c r="H203" i="1"/>
  <c r="H44" i="1" s="1"/>
  <c r="L215" i="1"/>
  <c r="L56" i="1" s="1"/>
  <c r="H215" i="1"/>
  <c r="H56" i="1" s="1"/>
  <c r="J214" i="1"/>
  <c r="L213" i="1"/>
  <c r="L54" i="1" s="1"/>
  <c r="H213" i="1"/>
  <c r="H54" i="1" s="1"/>
  <c r="J212" i="1"/>
  <c r="J53" i="1" s="1"/>
  <c r="L211" i="1"/>
  <c r="L52" i="1" s="1"/>
  <c r="H211" i="1"/>
  <c r="J210" i="1"/>
  <c r="J51" i="1" s="1"/>
  <c r="L209" i="1"/>
  <c r="L50" i="1" s="1"/>
  <c r="H209" i="1"/>
  <c r="H50" i="1" s="1"/>
  <c r="J208" i="1"/>
  <c r="J49" i="1" s="1"/>
  <c r="K215" i="1"/>
  <c r="K56" i="1" s="1"/>
  <c r="G215" i="1"/>
  <c r="G56" i="1" s="1"/>
  <c r="I214" i="1"/>
  <c r="I55" i="1" s="1"/>
  <c r="K213" i="1"/>
  <c r="K54" i="1" s="1"/>
  <c r="G213" i="1"/>
  <c r="G54" i="1" s="1"/>
  <c r="I212" i="1"/>
  <c r="I53" i="1" s="1"/>
  <c r="K211" i="1"/>
  <c r="K52" i="1" s="1"/>
  <c r="G211" i="1"/>
  <c r="I210" i="1"/>
  <c r="I51" i="1" s="1"/>
  <c r="K209" i="1"/>
  <c r="K50" i="1" s="1"/>
  <c r="G209" i="1"/>
  <c r="G50" i="1" s="1"/>
  <c r="I208" i="1"/>
  <c r="I49" i="1" s="1"/>
  <c r="J215" i="1"/>
  <c r="J56" i="1" s="1"/>
  <c r="L214" i="1"/>
  <c r="L55" i="1" s="1"/>
  <c r="H214" i="1"/>
  <c r="H55" i="1" s="1"/>
  <c r="J213" i="1"/>
  <c r="J54" i="1" s="1"/>
  <c r="L212" i="1"/>
  <c r="L53" i="1" s="1"/>
  <c r="H212" i="1"/>
  <c r="H53" i="1" s="1"/>
  <c r="J211" i="1"/>
  <c r="J52" i="1" s="1"/>
  <c r="L210" i="1"/>
  <c r="H210" i="1"/>
  <c r="H51" i="1" s="1"/>
  <c r="J209" i="1"/>
  <c r="J50" i="1" s="1"/>
  <c r="L208" i="1"/>
  <c r="L49" i="1" s="1"/>
  <c r="H208" i="1"/>
  <c r="H49" i="1" s="1"/>
  <c r="G214" i="1"/>
  <c r="G55" i="1" s="1"/>
  <c r="I211" i="1"/>
  <c r="I52" i="1" s="1"/>
  <c r="K208" i="1"/>
  <c r="K49" i="1" s="1"/>
  <c r="I213" i="1"/>
  <c r="I54" i="1" s="1"/>
  <c r="K210" i="1"/>
  <c r="K51" i="1" s="1"/>
  <c r="G227" i="1"/>
  <c r="G68" i="1" s="1"/>
  <c r="L227" i="1"/>
  <c r="L68" i="1" s="1"/>
  <c r="H227" i="1"/>
  <c r="H68" i="1" s="1"/>
  <c r="I192" i="1"/>
  <c r="I33" i="1" s="1"/>
  <c r="I189" i="1"/>
  <c r="I30" i="1" s="1"/>
  <c r="L189" i="1"/>
  <c r="L30" i="1" s="1"/>
  <c r="H189" i="1"/>
  <c r="H30" i="1" s="1"/>
  <c r="K189" i="1"/>
  <c r="K30" i="1" s="1"/>
  <c r="G189" i="1"/>
  <c r="L182" i="1"/>
  <c r="L23" i="1" s="1"/>
  <c r="H182" i="1"/>
  <c r="H23" i="1" s="1"/>
  <c r="K182" i="1"/>
  <c r="K23" i="1" s="1"/>
  <c r="G182" i="1"/>
  <c r="J182" i="1"/>
  <c r="J23" i="1" s="1"/>
  <c r="I182" i="1"/>
  <c r="I23" i="1" s="1"/>
  <c r="G192" i="1"/>
  <c r="L192" i="1"/>
  <c r="L33" i="1" s="1"/>
  <c r="G212" i="1"/>
  <c r="G53" i="1" s="1"/>
  <c r="K200" i="1"/>
  <c r="K41" i="1" s="1"/>
  <c r="O16" i="1"/>
  <c r="J175" i="1"/>
  <c r="J16" i="1" s="1"/>
  <c r="M16" i="1"/>
  <c r="I175" i="1"/>
  <c r="I16" i="1" s="1"/>
  <c r="S16" i="1"/>
  <c r="L175" i="1"/>
  <c r="L16" i="1" s="1"/>
  <c r="H175" i="1"/>
  <c r="H16" i="1" s="1"/>
  <c r="Q16" i="1"/>
  <c r="K175" i="1"/>
  <c r="K16" i="1" s="1"/>
  <c r="L170" i="1"/>
  <c r="L11" i="1" s="1"/>
  <c r="H170" i="1"/>
  <c r="H11" i="1" s="1"/>
  <c r="K170" i="1"/>
  <c r="K11" i="1" s="1"/>
  <c r="G170" i="1"/>
  <c r="J170" i="1"/>
  <c r="J11" i="1" s="1"/>
  <c r="K171" i="1"/>
  <c r="K12" i="1" s="1"/>
  <c r="G171" i="1"/>
  <c r="J171" i="1"/>
  <c r="J12" i="1" s="1"/>
  <c r="L171" i="1"/>
  <c r="L12" i="1" s="1"/>
  <c r="I171" i="1"/>
  <c r="I12" i="1" s="1"/>
  <c r="H192" i="1"/>
  <c r="H33" i="1" s="1"/>
  <c r="I227" i="1"/>
  <c r="I68" i="1" s="1"/>
  <c r="H166" i="1"/>
  <c r="H7" i="1" s="1"/>
  <c r="G169" i="1"/>
  <c r="G176" i="1"/>
  <c r="L176" i="1"/>
  <c r="L17" i="1" s="1"/>
  <c r="K179" i="1"/>
  <c r="K20" i="1" s="1"/>
  <c r="K180" i="1"/>
  <c r="K21" i="1" s="1"/>
  <c r="J181" i="1"/>
  <c r="J22" i="1" s="1"/>
  <c r="I184" i="1"/>
  <c r="I25" i="1" s="1"/>
  <c r="I186" i="1"/>
  <c r="I27" i="1" s="1"/>
  <c r="H187" i="1"/>
  <c r="G190" i="1"/>
  <c r="G193" i="1"/>
  <c r="L193" i="1"/>
  <c r="L34" i="1" s="1"/>
  <c r="K196" i="1"/>
  <c r="K37" i="1" s="1"/>
  <c r="K197" i="1"/>
  <c r="K38" i="1" s="1"/>
  <c r="J199" i="1"/>
  <c r="J40" i="1" s="1"/>
  <c r="I203" i="1"/>
  <c r="I44" i="1" s="1"/>
  <c r="J204" i="1"/>
  <c r="J45" i="1" s="1"/>
  <c r="L206" i="1"/>
  <c r="L47" i="1" s="1"/>
  <c r="K212" i="1"/>
  <c r="K53" i="1" s="1"/>
  <c r="G164" i="1"/>
  <c r="I170" i="1"/>
  <c r="I11" i="1" s="1"/>
  <c r="G205" i="1"/>
  <c r="I198" i="1"/>
  <c r="I39" i="1" s="1"/>
  <c r="H224" i="1"/>
  <c r="H65" i="1" s="1"/>
  <c r="G225" i="1"/>
  <c r="G66" i="1" s="1"/>
  <c r="J192" i="1"/>
  <c r="J33" i="1" s="1"/>
  <c r="J227" i="1"/>
  <c r="J68" i="1" s="1"/>
  <c r="I166" i="1"/>
  <c r="I7" i="1" s="1"/>
  <c r="I169" i="1"/>
  <c r="I10" i="1" s="1"/>
  <c r="H176" i="1"/>
  <c r="H17" i="1" s="1"/>
  <c r="G179" i="1"/>
  <c r="G180" i="1"/>
  <c r="L180" i="1"/>
  <c r="L21" i="1" s="1"/>
  <c r="K181" i="1"/>
  <c r="K22" i="1" s="1"/>
  <c r="K184" i="1"/>
  <c r="K25" i="1" s="1"/>
  <c r="J186" i="1"/>
  <c r="J27" i="1" s="1"/>
  <c r="I187" i="1"/>
  <c r="I28" i="1" s="1"/>
  <c r="I190" i="1"/>
  <c r="I31" i="1" s="1"/>
  <c r="H193" i="1"/>
  <c r="H34" i="1" s="1"/>
  <c r="G196" i="1"/>
  <c r="G197" i="1"/>
  <c r="L197" i="1"/>
  <c r="L38" i="1" s="1"/>
  <c r="K199" i="1"/>
  <c r="K40" i="1" s="1"/>
  <c r="K203" i="1"/>
  <c r="K44" i="1" s="1"/>
  <c r="I209" i="1"/>
  <c r="I50" i="1" s="1"/>
  <c r="K214" i="1"/>
  <c r="S36" i="1"/>
  <c r="L195" i="1"/>
  <c r="L36" i="1" s="1"/>
  <c r="H195" i="1"/>
  <c r="H36" i="1" s="1"/>
  <c r="O35" i="1"/>
  <c r="J194" i="1"/>
  <c r="J35" i="1" s="1"/>
  <c r="Q36" i="1"/>
  <c r="K195" i="1"/>
  <c r="K36" i="1" s="1"/>
  <c r="G195" i="1"/>
  <c r="M35" i="1"/>
  <c r="I194" i="1"/>
  <c r="I35" i="1" s="1"/>
  <c r="O36" i="1"/>
  <c r="J195" i="1"/>
  <c r="J36" i="1" s="1"/>
  <c r="S35" i="1"/>
  <c r="L194" i="1"/>
  <c r="L35" i="1" s="1"/>
  <c r="H194" i="1"/>
  <c r="H35" i="1" s="1"/>
  <c r="M36" i="1"/>
  <c r="G194" i="1"/>
  <c r="I195" i="1"/>
  <c r="I36" i="1" s="1"/>
  <c r="J200" i="1"/>
  <c r="J41" i="1" s="1"/>
  <c r="L188" i="1"/>
  <c r="L29" i="1" s="1"/>
  <c r="H188" i="1"/>
  <c r="H29" i="1" s="1"/>
  <c r="J172" i="1"/>
  <c r="J13" i="1" s="1"/>
  <c r="L167" i="1"/>
  <c r="L8" i="1" s="1"/>
  <c r="H167" i="1"/>
  <c r="H8" i="1" s="1"/>
  <c r="J164" i="1"/>
  <c r="J5" i="1" s="1"/>
  <c r="I200" i="1"/>
  <c r="I41" i="1" s="1"/>
  <c r="K188" i="1"/>
  <c r="K29" i="1" s="1"/>
  <c r="G188" i="1"/>
  <c r="I172" i="1"/>
  <c r="I13" i="1" s="1"/>
  <c r="K167" i="1"/>
  <c r="K8" i="1" s="1"/>
  <c r="G167" i="1"/>
  <c r="I164" i="1"/>
  <c r="I5" i="1" s="1"/>
  <c r="L200" i="1"/>
  <c r="L41" i="1" s="1"/>
  <c r="H200" i="1"/>
  <c r="H41" i="1" s="1"/>
  <c r="J188" i="1"/>
  <c r="J29" i="1" s="1"/>
  <c r="L172" i="1"/>
  <c r="L13" i="1" s="1"/>
  <c r="H172" i="1"/>
  <c r="H13" i="1" s="1"/>
  <c r="J167" i="1"/>
  <c r="J8" i="1" s="1"/>
  <c r="L164" i="1"/>
  <c r="L5" i="1" s="1"/>
  <c r="H164" i="1"/>
  <c r="H5" i="1" s="1"/>
  <c r="G200" i="1"/>
  <c r="I167" i="1"/>
  <c r="I8" i="1" s="1"/>
  <c r="I188" i="1"/>
  <c r="I29" i="1" s="1"/>
  <c r="K164" i="1"/>
  <c r="K5" i="1" s="1"/>
  <c r="J206" i="1"/>
  <c r="J47" i="1" s="1"/>
  <c r="L204" i="1"/>
  <c r="L45" i="1" s="1"/>
  <c r="H204" i="1"/>
  <c r="H45" i="1" s="1"/>
  <c r="J203" i="1"/>
  <c r="J44" i="1" s="1"/>
  <c r="L199" i="1"/>
  <c r="L40" i="1" s="1"/>
  <c r="H199" i="1"/>
  <c r="H40" i="1" s="1"/>
  <c r="J197" i="1"/>
  <c r="J38" i="1" s="1"/>
  <c r="L196" i="1"/>
  <c r="L37" i="1" s="1"/>
  <c r="H196" i="1"/>
  <c r="H37" i="1" s="1"/>
  <c r="J193" i="1"/>
  <c r="J34" i="1" s="1"/>
  <c r="L190" i="1"/>
  <c r="L31" i="1" s="1"/>
  <c r="H190" i="1"/>
  <c r="H31" i="1" s="1"/>
  <c r="J187" i="1"/>
  <c r="J28" i="1" s="1"/>
  <c r="L186" i="1"/>
  <c r="L27" i="1" s="1"/>
  <c r="H186" i="1"/>
  <c r="H27" i="1" s="1"/>
  <c r="J184" i="1"/>
  <c r="J25" i="1" s="1"/>
  <c r="L181" i="1"/>
  <c r="L22" i="1" s="1"/>
  <c r="H181" i="1"/>
  <c r="H22" i="1" s="1"/>
  <c r="J180" i="1"/>
  <c r="J21" i="1" s="1"/>
  <c r="L179" i="1"/>
  <c r="L20" i="1" s="1"/>
  <c r="H179" i="1"/>
  <c r="H20" i="1" s="1"/>
  <c r="J176" i="1"/>
  <c r="J17" i="1" s="1"/>
  <c r="L169" i="1"/>
  <c r="L10" i="1" s="1"/>
  <c r="H169" i="1"/>
  <c r="H10" i="1" s="1"/>
  <c r="J166" i="1"/>
  <c r="J7" i="1" s="1"/>
  <c r="I206" i="1"/>
  <c r="I47" i="1" s="1"/>
  <c r="K204" i="1"/>
  <c r="K45" i="1" s="1"/>
  <c r="G204" i="1"/>
  <c r="L220" i="1"/>
  <c r="L61" i="1" s="1"/>
  <c r="H220" i="1"/>
  <c r="H61" i="1" s="1"/>
  <c r="J219" i="1"/>
  <c r="J60" i="1" s="1"/>
  <c r="L218" i="1"/>
  <c r="H218" i="1"/>
  <c r="H59" i="1" s="1"/>
  <c r="K220" i="1"/>
  <c r="K61" i="1" s="1"/>
  <c r="G220" i="1"/>
  <c r="G61" i="1" s="1"/>
  <c r="I219" i="1"/>
  <c r="I60" i="1" s="1"/>
  <c r="K218" i="1"/>
  <c r="K59" i="1" s="1"/>
  <c r="G218" i="1"/>
  <c r="G59" i="1" s="1"/>
  <c r="J220" i="1"/>
  <c r="J61" i="1" s="1"/>
  <c r="L219" i="1"/>
  <c r="L60" i="1" s="1"/>
  <c r="H219" i="1"/>
  <c r="H60" i="1" s="1"/>
  <c r="J218" i="1"/>
  <c r="J59" i="1" s="1"/>
  <c r="I218" i="1"/>
  <c r="I59" i="1" s="1"/>
  <c r="I220" i="1"/>
  <c r="O46" i="1"/>
  <c r="J205" i="1"/>
  <c r="J46" i="1" s="1"/>
  <c r="M46" i="1"/>
  <c r="I205" i="1"/>
  <c r="I46" i="1" s="1"/>
  <c r="S46" i="1"/>
  <c r="L205" i="1"/>
  <c r="L46" i="1" s="1"/>
  <c r="H205" i="1"/>
  <c r="H46" i="1" s="1"/>
  <c r="Q46" i="1"/>
  <c r="L202" i="1"/>
  <c r="L43" i="1" s="1"/>
  <c r="H202" i="1"/>
  <c r="H43" i="1" s="1"/>
  <c r="K202" i="1"/>
  <c r="K43" i="1" s="1"/>
  <c r="G202" i="1"/>
  <c r="J202" i="1"/>
  <c r="J43" i="1" s="1"/>
  <c r="I202" i="1"/>
  <c r="I43" i="1" s="1"/>
  <c r="G177" i="1"/>
  <c r="I177" i="1"/>
  <c r="I18" i="1" s="1"/>
  <c r="J165" i="1"/>
  <c r="J6" i="1" s="1"/>
  <c r="L177" i="1"/>
  <c r="L18" i="1" s="1"/>
  <c r="H177" i="1"/>
  <c r="H18" i="1" s="1"/>
  <c r="I165" i="1"/>
  <c r="I6" i="1" s="1"/>
  <c r="K177" i="1"/>
  <c r="K18" i="1" s="1"/>
  <c r="L165" i="1"/>
  <c r="L6" i="1" s="1"/>
  <c r="H165" i="1"/>
  <c r="H6" i="1" s="1"/>
  <c r="G165" i="1"/>
  <c r="L225" i="1"/>
  <c r="H225" i="1"/>
  <c r="H66" i="1" s="1"/>
  <c r="J224" i="1"/>
  <c r="L198" i="1"/>
  <c r="L39" i="1" s="1"/>
  <c r="H198" i="1"/>
  <c r="H39" i="1" s="1"/>
  <c r="J198" i="1"/>
  <c r="J39" i="1" s="1"/>
  <c r="I224" i="1"/>
  <c r="I65" i="1" s="1"/>
  <c r="I225" i="1"/>
  <c r="I66" i="1" s="1"/>
  <c r="K201" i="1"/>
  <c r="K42" i="1" s="1"/>
  <c r="G201" i="1"/>
  <c r="L201" i="1"/>
  <c r="L42" i="1" s="1"/>
  <c r="K192" i="1"/>
  <c r="K33" i="1" s="1"/>
  <c r="K227" i="1"/>
  <c r="K68" i="1" s="1"/>
  <c r="K166" i="1"/>
  <c r="K7" i="1" s="1"/>
  <c r="J169" i="1"/>
  <c r="J10" i="1" s="1"/>
  <c r="I176" i="1"/>
  <c r="I17" i="1" s="1"/>
  <c r="I179" i="1"/>
  <c r="I20" i="1" s="1"/>
  <c r="H180" i="1"/>
  <c r="H21" i="1" s="1"/>
  <c r="G181" i="1"/>
  <c r="G184" i="1"/>
  <c r="L184" i="1"/>
  <c r="L25" i="1" s="1"/>
  <c r="K186" i="1"/>
  <c r="K27" i="1" s="1"/>
  <c r="K187" i="1"/>
  <c r="K28" i="1" s="1"/>
  <c r="J190" i="1"/>
  <c r="J31" i="1" s="1"/>
  <c r="I193" i="1"/>
  <c r="I34" i="1" s="1"/>
  <c r="I196" i="1"/>
  <c r="I37" i="1" s="1"/>
  <c r="H197" i="1"/>
  <c r="H38" i="1" s="1"/>
  <c r="G199" i="1"/>
  <c r="G203" i="1"/>
  <c r="L203" i="1"/>
  <c r="L44" i="1" s="1"/>
  <c r="H206" i="1"/>
  <c r="H47" i="1" s="1"/>
  <c r="G210" i="1"/>
  <c r="G51" i="1" s="1"/>
  <c r="I215" i="1"/>
  <c r="K172" i="1"/>
  <c r="K13" i="1" s="1"/>
  <c r="K194" i="1"/>
  <c r="K35" i="1" s="1"/>
  <c r="G219" i="1"/>
  <c r="G60" i="1" s="1"/>
  <c r="J189" i="1"/>
  <c r="J30" i="1" s="1"/>
  <c r="H171" i="1"/>
  <c r="H12" i="1" s="1"/>
  <c r="O19" i="1"/>
  <c r="O14" i="1"/>
  <c r="L178" i="1"/>
  <c r="L19" i="1" s="1"/>
  <c r="H178" i="1"/>
  <c r="H19" i="1" s="1"/>
  <c r="J173" i="1"/>
  <c r="J14" i="1" s="1"/>
  <c r="M19" i="1"/>
  <c r="M14" i="1"/>
  <c r="K178" i="1"/>
  <c r="K19" i="1" s="1"/>
  <c r="G178" i="1"/>
  <c r="I173" i="1"/>
  <c r="I14" i="1" s="1"/>
  <c r="S19" i="1"/>
  <c r="S14" i="1"/>
  <c r="J178" i="1"/>
  <c r="J19" i="1" s="1"/>
  <c r="L173" i="1"/>
  <c r="L14" i="1" s="1"/>
  <c r="H173" i="1"/>
  <c r="H14" i="1" s="1"/>
  <c r="J191" i="1"/>
  <c r="J32" i="1" s="1"/>
  <c r="I191" i="1"/>
  <c r="I32" i="1" s="1"/>
  <c r="L191" i="1"/>
  <c r="L32" i="1" s="1"/>
  <c r="H191" i="1"/>
  <c r="H32" i="1" s="1"/>
  <c r="K168" i="1"/>
  <c r="K9" i="1" s="1"/>
  <c r="G168" i="1"/>
  <c r="J168" i="1"/>
  <c r="J9" i="1" s="1"/>
  <c r="I168" i="1"/>
  <c r="I9" i="1" s="1"/>
  <c r="K173" i="1"/>
  <c r="K14" i="1" s="1"/>
  <c r="L168" i="1"/>
  <c r="L9" i="1" s="1"/>
  <c r="V54" i="1" l="1"/>
  <c r="U54" i="1"/>
  <c r="U49" i="1"/>
  <c r="V49" i="1"/>
  <c r="V68" i="1"/>
  <c r="U68" i="1"/>
  <c r="V51" i="1"/>
  <c r="U51" i="1"/>
  <c r="V61" i="1"/>
  <c r="U61" i="1"/>
  <c r="V50" i="1"/>
  <c r="U50" i="1"/>
  <c r="U56" i="1"/>
  <c r="V56" i="1"/>
  <c r="V55" i="1"/>
  <c r="U55" i="1"/>
  <c r="U59" i="1"/>
  <c r="V59" i="1"/>
  <c r="V60" i="1"/>
  <c r="U60" i="1"/>
  <c r="V66" i="1"/>
  <c r="U66" i="1"/>
  <c r="U53" i="1"/>
  <c r="V53" i="1"/>
  <c r="O78" i="1"/>
  <c r="U45" i="1"/>
  <c r="U65" i="1"/>
  <c r="V65" i="1"/>
  <c r="K78" i="1"/>
  <c r="M78" i="1"/>
  <c r="U8" i="1"/>
  <c r="V62" i="1"/>
  <c r="V57" i="1"/>
  <c r="V69" i="1"/>
  <c r="U69" i="1"/>
  <c r="V70" i="1"/>
  <c r="U70" i="1"/>
  <c r="V26" i="1"/>
  <c r="U26" i="1"/>
  <c r="U48" i="1"/>
  <c r="V48" i="1"/>
  <c r="V6" i="1"/>
  <c r="V31" i="1"/>
  <c r="U31" i="1"/>
  <c r="U52" i="1"/>
  <c r="V52" i="1"/>
  <c r="S78" i="1"/>
  <c r="U36" i="1"/>
  <c r="U42" i="1"/>
  <c r="Q78" i="1"/>
  <c r="V27" i="1"/>
  <c r="U27" i="1"/>
  <c r="J78" i="1"/>
  <c r="V15" i="1"/>
  <c r="U15" i="1"/>
  <c r="V35" i="1"/>
  <c r="V29" i="1"/>
  <c r="V21" i="1"/>
  <c r="H78" i="1"/>
  <c r="I78" i="1"/>
  <c r="U24" i="1"/>
  <c r="V24" i="1"/>
  <c r="U44" i="1"/>
  <c r="L78" i="1"/>
  <c r="U20" i="1"/>
  <c r="V20" i="1"/>
  <c r="U10" i="1"/>
  <c r="V67" i="1"/>
  <c r="G42" i="1"/>
  <c r="V42" i="1" s="1"/>
  <c r="V201" i="1"/>
  <c r="U201" i="1"/>
  <c r="G6" i="1"/>
  <c r="U6" i="1" s="1"/>
  <c r="V165" i="1"/>
  <c r="U165" i="1"/>
  <c r="G43" i="1"/>
  <c r="V43" i="1" s="1"/>
  <c r="U202" i="1"/>
  <c r="V202" i="1"/>
  <c r="V221" i="1"/>
  <c r="U221" i="1"/>
  <c r="G8" i="1"/>
  <c r="V8" i="1" s="1"/>
  <c r="V167" i="1"/>
  <c r="U167" i="1"/>
  <c r="G38" i="1"/>
  <c r="V38" i="1" s="1"/>
  <c r="V197" i="1"/>
  <c r="U197" i="1"/>
  <c r="G34" i="1"/>
  <c r="V34" i="1" s="1"/>
  <c r="V193" i="1"/>
  <c r="U193" i="1"/>
  <c r="V211" i="1"/>
  <c r="U211" i="1"/>
  <c r="G44" i="1"/>
  <c r="V44" i="1" s="1"/>
  <c r="V203" i="1"/>
  <c r="U203" i="1"/>
  <c r="G18" i="1"/>
  <c r="V18" i="1" s="1"/>
  <c r="V177" i="1"/>
  <c r="U177" i="1"/>
  <c r="U220" i="1"/>
  <c r="V220" i="1"/>
  <c r="U222" i="1"/>
  <c r="V222" i="1"/>
  <c r="G37" i="1"/>
  <c r="U37" i="1" s="1"/>
  <c r="U196" i="1"/>
  <c r="V196" i="1"/>
  <c r="G21" i="1"/>
  <c r="U21" i="1" s="1"/>
  <c r="U180" i="1"/>
  <c r="V180" i="1"/>
  <c r="V225" i="1"/>
  <c r="U225" i="1"/>
  <c r="G46" i="1"/>
  <c r="V46" i="1" s="1"/>
  <c r="V205" i="1"/>
  <c r="U205" i="1"/>
  <c r="G31" i="1"/>
  <c r="U190" i="1"/>
  <c r="V190" i="1"/>
  <c r="G17" i="1"/>
  <c r="U17" i="1" s="1"/>
  <c r="U176" i="1"/>
  <c r="V176" i="1"/>
  <c r="G12" i="1"/>
  <c r="U12" i="1" s="1"/>
  <c r="V171" i="1"/>
  <c r="U171" i="1"/>
  <c r="G33" i="1"/>
  <c r="V33" i="1" s="1"/>
  <c r="U192" i="1"/>
  <c r="V192" i="1"/>
  <c r="U208" i="1"/>
  <c r="V208" i="1"/>
  <c r="V209" i="1"/>
  <c r="U209" i="1"/>
  <c r="V217" i="1"/>
  <c r="U217" i="1"/>
  <c r="G27" i="1"/>
  <c r="U186" i="1"/>
  <c r="V186" i="1"/>
  <c r="N236" i="1"/>
  <c r="N5" i="1"/>
  <c r="N78" i="1" s="1"/>
  <c r="G45" i="1"/>
  <c r="V45" i="1" s="1"/>
  <c r="U204" i="1"/>
  <c r="V204" i="1"/>
  <c r="U226" i="1"/>
  <c r="V226" i="1"/>
  <c r="G30" i="1"/>
  <c r="V30" i="1" s="1"/>
  <c r="V189" i="1"/>
  <c r="U189" i="1"/>
  <c r="U216" i="1"/>
  <c r="V216" i="1"/>
  <c r="G19" i="1"/>
  <c r="V19" i="1" s="1"/>
  <c r="U178" i="1"/>
  <c r="V178" i="1"/>
  <c r="V219" i="1"/>
  <c r="U219" i="1"/>
  <c r="U210" i="1"/>
  <c r="V210" i="1"/>
  <c r="G40" i="1"/>
  <c r="U40" i="1" s="1"/>
  <c r="V199" i="1"/>
  <c r="U199" i="1"/>
  <c r="G25" i="1"/>
  <c r="V25" i="1" s="1"/>
  <c r="U184" i="1"/>
  <c r="V184" i="1"/>
  <c r="U218" i="1"/>
  <c r="V218" i="1"/>
  <c r="G41" i="1"/>
  <c r="U41" i="1" s="1"/>
  <c r="U200" i="1"/>
  <c r="V200" i="1"/>
  <c r="G35" i="1"/>
  <c r="U35" i="1" s="1"/>
  <c r="U194" i="1"/>
  <c r="V194" i="1"/>
  <c r="V179" i="1"/>
  <c r="U179" i="1"/>
  <c r="G10" i="1"/>
  <c r="V10" i="1" s="1"/>
  <c r="V169" i="1"/>
  <c r="U169" i="1"/>
  <c r="V215" i="1"/>
  <c r="U215" i="1"/>
  <c r="V223" i="1"/>
  <c r="U223" i="1"/>
  <c r="G39" i="1"/>
  <c r="U198" i="1"/>
  <c r="V198" i="1"/>
  <c r="U224" i="1"/>
  <c r="V224" i="1"/>
  <c r="G16" i="1"/>
  <c r="U16" i="1" s="1"/>
  <c r="V175" i="1"/>
  <c r="U175" i="1"/>
  <c r="V191" i="1"/>
  <c r="U191" i="1"/>
  <c r="G32" i="1"/>
  <c r="V32" i="1" s="1"/>
  <c r="R236" i="1"/>
  <c r="R5" i="1"/>
  <c r="R78" i="1" s="1"/>
  <c r="G11" i="1"/>
  <c r="V11" i="1" s="1"/>
  <c r="U170" i="1"/>
  <c r="V170" i="1"/>
  <c r="G23" i="1"/>
  <c r="V23" i="1" s="1"/>
  <c r="U182" i="1"/>
  <c r="V182" i="1"/>
  <c r="V227" i="1"/>
  <c r="U227" i="1"/>
  <c r="G13" i="1"/>
  <c r="V13" i="1" s="1"/>
  <c r="U172" i="1"/>
  <c r="V172" i="1"/>
  <c r="T236" i="1"/>
  <c r="T5" i="1"/>
  <c r="T78" i="1" s="1"/>
  <c r="G9" i="1"/>
  <c r="U9" i="1" s="1"/>
  <c r="U168" i="1"/>
  <c r="V168" i="1"/>
  <c r="G22" i="1"/>
  <c r="V22" i="1" s="1"/>
  <c r="V181" i="1"/>
  <c r="U181" i="1"/>
  <c r="G29" i="1"/>
  <c r="U29" i="1" s="1"/>
  <c r="U188" i="1"/>
  <c r="V188" i="1"/>
  <c r="G36" i="1"/>
  <c r="V36" i="1" s="1"/>
  <c r="V195" i="1"/>
  <c r="U195" i="1"/>
  <c r="G5" i="1"/>
  <c r="V5" i="1" s="1"/>
  <c r="U164" i="1"/>
  <c r="V164" i="1"/>
  <c r="U212" i="1"/>
  <c r="V212" i="1"/>
  <c r="U214" i="1"/>
  <c r="V214" i="1"/>
  <c r="V213" i="1"/>
  <c r="U213" i="1"/>
  <c r="G7" i="1"/>
  <c r="V7" i="1" s="1"/>
  <c r="U166" i="1"/>
  <c r="V166" i="1"/>
  <c r="G14" i="1"/>
  <c r="U14" i="1" s="1"/>
  <c r="V173" i="1"/>
  <c r="U173" i="1"/>
  <c r="G47" i="1"/>
  <c r="U47" i="1" s="1"/>
  <c r="U206" i="1"/>
  <c r="V206" i="1"/>
  <c r="G28" i="1"/>
  <c r="U28" i="1" s="1"/>
  <c r="V187" i="1"/>
  <c r="U187" i="1"/>
  <c r="P236" i="1"/>
  <c r="P5" i="1"/>
  <c r="P78" i="1" s="1"/>
  <c r="V157" i="1"/>
  <c r="G20" i="1"/>
  <c r="H28" i="1"/>
  <c r="O236" i="1"/>
  <c r="U157" i="1"/>
  <c r="Q236" i="1"/>
  <c r="M236" i="1"/>
  <c r="S236" i="1"/>
  <c r="G236" i="1"/>
  <c r="K236" i="1"/>
  <c r="H236" i="1"/>
  <c r="I236" i="1"/>
  <c r="L236" i="1"/>
  <c r="J236" i="1"/>
  <c r="U33" i="1" l="1"/>
  <c r="V17" i="1"/>
  <c r="U13" i="1"/>
  <c r="V47" i="1"/>
  <c r="V14" i="1"/>
  <c r="U19" i="1"/>
  <c r="U32" i="1"/>
  <c r="U23" i="1"/>
  <c r="U34" i="1"/>
  <c r="V12" i="1"/>
  <c r="U38" i="1"/>
  <c r="U43" i="1"/>
  <c r="U22" i="1"/>
  <c r="V39" i="1"/>
  <c r="U39" i="1"/>
  <c r="U46" i="1"/>
  <c r="U11" i="1"/>
  <c r="U25" i="1"/>
  <c r="V28" i="1"/>
  <c r="U18" i="1"/>
  <c r="U30" i="1"/>
  <c r="U7" i="1"/>
  <c r="V40" i="1"/>
  <c r="G78" i="1"/>
  <c r="V37" i="1"/>
  <c r="V41" i="1"/>
  <c r="V9" i="1"/>
  <c r="V16" i="1"/>
  <c r="V236" i="1"/>
  <c r="U236" i="1"/>
  <c r="U7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Максим Красуцкий</author>
  </authors>
  <commentList>
    <comment ref="G79" authorId="0" shapeId="0" xr:uid="{0ADAF2F8-4695-42C1-9B2C-9C83307A5115}">
      <text>
        <r>
          <rPr>
            <b/>
            <sz val="9"/>
            <color indexed="81"/>
            <rFont val="Tahoma"/>
            <charset val="1"/>
          </rPr>
          <t>Максим Красуцкий:</t>
        </r>
        <r>
          <rPr>
            <sz val="9"/>
            <color indexed="81"/>
            <rFont val="Tahoma"/>
            <charset val="1"/>
          </rPr>
          <t xml:space="preserve">
Инвентаризация + переход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Максим Красуцкий</author>
  </authors>
  <commentList>
    <comment ref="G79" authorId="0" shapeId="0" xr:uid="{08F9BB56-DBA2-4EB2-8574-CCA8C0E93DA1}">
      <text>
        <r>
          <rPr>
            <b/>
            <sz val="9"/>
            <color indexed="81"/>
            <rFont val="Tahoma"/>
            <charset val="1"/>
          </rPr>
          <t>Максим Красуцкий:</t>
        </r>
        <r>
          <rPr>
            <sz val="9"/>
            <color indexed="81"/>
            <rFont val="Tahoma"/>
            <charset val="1"/>
          </rPr>
          <t xml:space="preserve">
Инвентаризация + переход</t>
        </r>
      </text>
    </comment>
  </commentList>
</comments>
</file>

<file path=xl/sharedStrings.xml><?xml version="1.0" encoding="utf-8"?>
<sst xmlns="http://schemas.openxmlformats.org/spreadsheetml/2006/main" count="1134" uniqueCount="198">
  <si>
    <t>Бюджет ЗП 2025</t>
  </si>
  <si>
    <t>ФИО</t>
  </si>
  <si>
    <t>Итого перечисления в ЗП (оклад +премия)</t>
  </si>
  <si>
    <t>Ср в месяц.</t>
  </si>
  <si>
    <t>Янв</t>
  </si>
  <si>
    <t>февр</t>
  </si>
  <si>
    <t>март</t>
  </si>
  <si>
    <t>апрель</t>
  </si>
  <si>
    <t>май</t>
  </si>
  <si>
    <t>июнь</t>
  </si>
  <si>
    <t>июль</t>
  </si>
  <si>
    <t>авг</t>
  </si>
  <si>
    <t>сент</t>
  </si>
  <si>
    <t>окт</t>
  </si>
  <si>
    <t>нояб</t>
  </si>
  <si>
    <t>Итого</t>
  </si>
  <si>
    <t>Должность</t>
  </si>
  <si>
    <t>Антонова Н.</t>
  </si>
  <si>
    <t>Артеменко И.</t>
  </si>
  <si>
    <t>Блинов А.</t>
  </si>
  <si>
    <t>Буланов К.</t>
  </si>
  <si>
    <t>Герасимова Н.</t>
  </si>
  <si>
    <t>Иванова Е.</t>
  </si>
  <si>
    <t>Комаров М.</t>
  </si>
  <si>
    <t>Копасова К.</t>
  </si>
  <si>
    <t>Кускичев Р.</t>
  </si>
  <si>
    <t>Мирзоев Д.</t>
  </si>
  <si>
    <t>Намазов Н.</t>
  </si>
  <si>
    <t>Никанорова В.</t>
  </si>
  <si>
    <t xml:space="preserve">Остапенко К. </t>
  </si>
  <si>
    <t>Плешаков А.</t>
  </si>
  <si>
    <t>Попов Н.</t>
  </si>
  <si>
    <t>Сафаргалиева Р.</t>
  </si>
  <si>
    <t>Свинцова М.</t>
  </si>
  <si>
    <t>Сидоренкова О.</t>
  </si>
  <si>
    <t>Соловьев А.</t>
  </si>
  <si>
    <t>Суворова М.</t>
  </si>
  <si>
    <t>Тукмачева К.</t>
  </si>
  <si>
    <t>Хоконов С.</t>
  </si>
  <si>
    <t>Черняев Р. И.</t>
  </si>
  <si>
    <t>Яблонский С.</t>
  </si>
  <si>
    <t>Ананьев Т.</t>
  </si>
  <si>
    <t>Беденок С.</t>
  </si>
  <si>
    <t>Безгачев И.</t>
  </si>
  <si>
    <t xml:space="preserve">Бубнов Б. </t>
  </si>
  <si>
    <t>Гаджимурадов М.</t>
  </si>
  <si>
    <t>Захарьева А.</t>
  </si>
  <si>
    <t>Диковицкий А.</t>
  </si>
  <si>
    <t>Зайцев М.</t>
  </si>
  <si>
    <t>Касаткин И.</t>
  </si>
  <si>
    <t>Кулаева Т.</t>
  </si>
  <si>
    <t>Лазарева Н.</t>
  </si>
  <si>
    <t>Решетникова А.</t>
  </si>
  <si>
    <t>Самойлов В.</t>
  </si>
  <si>
    <t>Сидоренков Ю.</t>
  </si>
  <si>
    <t xml:space="preserve">Слисков В. </t>
  </si>
  <si>
    <t>Федоров А.</t>
  </si>
  <si>
    <t>Федоров Е.</t>
  </si>
  <si>
    <t>Шумилов М.</t>
  </si>
  <si>
    <t>Ст. кладовщик</t>
  </si>
  <si>
    <t>Учетчик склада</t>
  </si>
  <si>
    <t>Учетчик склада С/В + анестезия</t>
  </si>
  <si>
    <t>Ст. учетчик склада</t>
  </si>
  <si>
    <t>Ст. кладовщик + погрузчик</t>
  </si>
  <si>
    <t>Ст. кладовщик + анестезия</t>
  </si>
  <si>
    <t>Ст. кладовщик вечерней смены</t>
  </si>
  <si>
    <t>Ст. кладовщик + приемка</t>
  </si>
  <si>
    <t>Учетчик склада + возвраты</t>
  </si>
  <si>
    <t>Учетчик склада + поступления</t>
  </si>
  <si>
    <t>Контракт (оклад)</t>
  </si>
  <si>
    <t>Итого 2025</t>
  </si>
  <si>
    <t>Премиальная часть (премиальная часть)</t>
  </si>
  <si>
    <t>Сумма по полю начислено</t>
  </si>
  <si>
    <t>Названия столбцов</t>
  </si>
  <si>
    <t>янв</t>
  </si>
  <si>
    <t>фев</t>
  </si>
  <si>
    <t>мар</t>
  </si>
  <si>
    <t>апр</t>
  </si>
  <si>
    <t>июн</t>
  </si>
  <si>
    <t>июл</t>
  </si>
  <si>
    <t>сен</t>
  </si>
  <si>
    <t>Общий итог</t>
  </si>
  <si>
    <t>Названия строк</t>
  </si>
  <si>
    <t>Азбукин А.Д.</t>
  </si>
  <si>
    <t>Ананьев Т.А.</t>
  </si>
  <si>
    <t>Аракелян В.А.</t>
  </si>
  <si>
    <t>Артеменко И.Д.</t>
  </si>
  <si>
    <t>Баргесян А.</t>
  </si>
  <si>
    <t>-</t>
  </si>
  <si>
    <t>Безгачев И.С.</t>
  </si>
  <si>
    <t>Бельцин В.</t>
  </si>
  <si>
    <t>Богданов Д.</t>
  </si>
  <si>
    <t>Бойков А.</t>
  </si>
  <si>
    <t>Бубнов Б. А.</t>
  </si>
  <si>
    <t>Буравцева С.</t>
  </si>
  <si>
    <t>Василюк О.</t>
  </si>
  <si>
    <t>Гаджимурадов М.Д.</t>
  </si>
  <si>
    <t>Говорухин А.И.</t>
  </si>
  <si>
    <t>Голиков А.Ю.</t>
  </si>
  <si>
    <t>Гусаров П.Г.</t>
  </si>
  <si>
    <t>Гусев С. М.</t>
  </si>
  <si>
    <t>Диковицкий А.В.</t>
  </si>
  <si>
    <t>Дмитриев С.И.</t>
  </si>
  <si>
    <t>Ефремов Е.Ю.</t>
  </si>
  <si>
    <t>Жаворонков С.</t>
  </si>
  <si>
    <t>Жданова В.</t>
  </si>
  <si>
    <t>Зайцев М.А.</t>
  </si>
  <si>
    <t>Игнатьев Д.</t>
  </si>
  <si>
    <t>Касаткин И.О.</t>
  </si>
  <si>
    <t>Ковалева Е. И.</t>
  </si>
  <si>
    <t>Козлов С.</t>
  </si>
  <si>
    <t>Колокольников А.А.</t>
  </si>
  <si>
    <t>Кочнева В.</t>
  </si>
  <si>
    <t>Кулаева Т.А.</t>
  </si>
  <si>
    <t>Лазарева Н.М.</t>
  </si>
  <si>
    <t>Лебедев П. В.</t>
  </si>
  <si>
    <t>Нечипоренко И.М.</t>
  </si>
  <si>
    <t>Николаев Е. Н.</t>
  </si>
  <si>
    <t>Остапенко К.Д.</t>
  </si>
  <si>
    <t>Петров К.</t>
  </si>
  <si>
    <t>Пономарев Ю.</t>
  </si>
  <si>
    <t>Попов Н.В.</t>
  </si>
  <si>
    <t>Решетникова А.П.</t>
  </si>
  <si>
    <t>Самойлов В.В.</t>
  </si>
  <si>
    <t>Серый А.</t>
  </si>
  <si>
    <t>Сидоренков А.А.</t>
  </si>
  <si>
    <t>Слисков В. И.</t>
  </si>
  <si>
    <t>Соколов Р.</t>
  </si>
  <si>
    <t>Теребов Д.А.</t>
  </si>
  <si>
    <t>Тучин Г.П.</t>
  </si>
  <si>
    <t>Ульянов В.</t>
  </si>
  <si>
    <t>Федоров А.А.</t>
  </si>
  <si>
    <t>Федоров Е.М.</t>
  </si>
  <si>
    <t>Федорова О. Г.</t>
  </si>
  <si>
    <t>Филоненко Д.Д.</t>
  </si>
  <si>
    <t>Хорошев В.С.</t>
  </si>
  <si>
    <t>Шелест З.</t>
  </si>
  <si>
    <t>Шумилов М.С.</t>
  </si>
  <si>
    <t>Грузчик + приемка</t>
  </si>
  <si>
    <t>Кладовщик стажер</t>
  </si>
  <si>
    <t>Учетчик склада стажер</t>
  </si>
  <si>
    <t>Стикеровщик раскладчик</t>
  </si>
  <si>
    <t>Гусев С.</t>
  </si>
  <si>
    <t>Лебедев П.</t>
  </si>
  <si>
    <t>дек +10%</t>
  </si>
  <si>
    <t>Кладовщик приемщик</t>
  </si>
  <si>
    <t>Кладовщик сборщик</t>
  </si>
  <si>
    <t>Уборщица</t>
  </si>
  <si>
    <t>Внедрение адр. Хранения</t>
  </si>
  <si>
    <t>Премия</t>
  </si>
  <si>
    <t>Премия, %</t>
  </si>
  <si>
    <t>Руководитель АХЧ</t>
  </si>
  <si>
    <t>Заведующий складом</t>
  </si>
  <si>
    <t>График, ч</t>
  </si>
  <si>
    <t>Руководитель отдела АХО</t>
  </si>
  <si>
    <t>Руководитель ФЛС</t>
  </si>
  <si>
    <t>Красуцкий М.</t>
  </si>
  <si>
    <t>Аракелян В. (уволен)</t>
  </si>
  <si>
    <t>Мирзоев Д. (уволен)</t>
  </si>
  <si>
    <t>Гусаров П. (уволен)</t>
  </si>
  <si>
    <t>Оклад/8ч</t>
  </si>
  <si>
    <t>Оклад/10ч</t>
  </si>
  <si>
    <t>Оклад/12ч</t>
  </si>
  <si>
    <t>Премия за 10ч</t>
  </si>
  <si>
    <t>Премия за 12ч</t>
  </si>
  <si>
    <t>Премия, фикс. 8ч</t>
  </si>
  <si>
    <t>Премия, фикс. 10ч</t>
  </si>
  <si>
    <t>Премия, фикс. 12ч</t>
  </si>
  <si>
    <t>Специалист группы товарного учета</t>
  </si>
  <si>
    <t>Руководитель ГТУ</t>
  </si>
  <si>
    <t>Руководитель ГТУ/логист склада</t>
  </si>
  <si>
    <t>оклад+прем</t>
  </si>
  <si>
    <t>Кол-во претензий</t>
  </si>
  <si>
    <t>фикс</t>
  </si>
  <si>
    <t>Кол-во вычерков</t>
  </si>
  <si>
    <t>входящий ТО</t>
  </si>
  <si>
    <t>выполнение сменного задания</t>
  </si>
  <si>
    <t>Премия, ст.клад.</t>
  </si>
  <si>
    <t>Оклад+премия за 12ч</t>
  </si>
  <si>
    <t>Оклад+премия за 10ч</t>
  </si>
  <si>
    <t>Оклад+премия за 14ч</t>
  </si>
  <si>
    <t>KPI, аналит.</t>
  </si>
  <si>
    <t xml:space="preserve"> </t>
  </si>
  <si>
    <t>сент/негат.</t>
  </si>
  <si>
    <t>окт/негат.</t>
  </si>
  <si>
    <t>нояб/негат.</t>
  </si>
  <si>
    <t>дек/негат.</t>
  </si>
  <si>
    <t>Итого 2025/негат.</t>
  </si>
  <si>
    <t>Работа в выходные/праздн. дни</t>
  </si>
  <si>
    <t>Сред. Зп/чел.</t>
  </si>
  <si>
    <t>Кол-во дней</t>
  </si>
  <si>
    <t>Кол-во выходных</t>
  </si>
  <si>
    <t>Кол-во человек, сред.</t>
  </si>
  <si>
    <t>Выплата х2 за работу</t>
  </si>
  <si>
    <t>Непредвиденные расходы (вых/празд)</t>
  </si>
  <si>
    <t>дек/негат. +10%</t>
  </si>
  <si>
    <t>Премия, позит.</t>
  </si>
  <si>
    <t>Премия, негат.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</si>
</sst>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&quot;р.&quot;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  <font>
      <sz val="8"/>
      <name val="Arial"/>
      <family val="2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5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0" fillId="2" borderId="1" xfId="0" applyNumberFormat="1" applyFill="1" applyBorder="1" applyAlignment="1">
      <alignment vertical="top" wrapText="1"/>
    </xf>
    <xf numFmtId="1" fontId="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  <xf numFmtId="1" fontId="1" fillId="2" borderId="1" xfId="0" applyNumberFormat="1" applyFont="1" applyFill="1" applyBorder="1" applyAlignment="1">
      <alignment vertical="top" wrapText="1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vertical="center"/>
    </xf>
    <xf numFmtId="0" fontId="3" fillId="3" borderId="1" xfId="1" applyFont="1" applyFill="1" applyBorder="1" applyAlignment="1">
      <alignment vertical="center" wrapText="1"/>
    </xf>
    <xf numFmtId="0" fontId="3" fillId="3" borderId="6" xfId="1" applyFont="1" applyFill="1" applyBorder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0" xfId="0" applyFont="1" applyAlignment="1">
      <alignment vertical="center" wrapText="1"/>
    </xf>
    <xf numFmtId="0" fontId="5" fillId="8" borderId="7" xfId="0" applyFont="1" applyFill="1" applyBorder="1"/>
    <xf numFmtId="0" fontId="4" fillId="0" borderId="7" xfId="0" applyFont="1" applyBorder="1" applyAlignment="1">
      <alignment horizontal="left"/>
    </xf>
    <xf numFmtId="3" fontId="4" fillId="0" borderId="7" xfId="0" applyNumberFormat="1" applyFont="1" applyBorder="1"/>
    <xf numFmtId="0" fontId="4" fillId="0" borderId="7" xfId="0" applyFont="1" applyBorder="1"/>
    <xf numFmtId="0" fontId="5" fillId="8" borderId="7" xfId="0" applyFont="1" applyFill="1" applyBorder="1" applyAlignment="1">
      <alignment horizontal="left"/>
    </xf>
    <xf numFmtId="3" fontId="5" fillId="8" borderId="7" xfId="0" applyNumberFormat="1" applyFont="1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165" fontId="0" fillId="3" borderId="1" xfId="2" applyNumberFormat="1" applyFont="1" applyFill="1" applyBorder="1" applyAlignment="1">
      <alignment horizontal="center"/>
    </xf>
    <xf numFmtId="165" fontId="1" fillId="0" borderId="1" xfId="2" applyNumberFormat="1" applyFont="1" applyBorder="1" applyAlignment="1">
      <alignment vertical="top" wrapText="1"/>
    </xf>
    <xf numFmtId="0" fontId="0" fillId="4" borderId="1" xfId="0" applyFill="1" applyBorder="1" applyAlignment="1">
      <alignment horizontal="center"/>
    </xf>
    <xf numFmtId="0" fontId="0" fillId="0" borderId="6" xfId="0" applyBorder="1"/>
    <xf numFmtId="0" fontId="0" fillId="0" borderId="5" xfId="0" applyBorder="1"/>
    <xf numFmtId="0" fontId="0" fillId="12" borderId="1" xfId="0" applyFill="1" applyBorder="1"/>
    <xf numFmtId="165" fontId="0" fillId="7" borderId="1" xfId="2" applyNumberFormat="1" applyFont="1" applyFill="1" applyBorder="1" applyAlignment="1">
      <alignment horizontal="center"/>
    </xf>
    <xf numFmtId="165" fontId="0" fillId="3" borderId="1" xfId="2" applyNumberFormat="1" applyFont="1" applyFill="1" applyBorder="1"/>
    <xf numFmtId="165" fontId="0" fillId="3" borderId="1" xfId="2" applyNumberFormat="1" applyFon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top" wrapText="1"/>
    </xf>
    <xf numFmtId="165" fontId="0" fillId="0" borderId="1" xfId="2" applyNumberFormat="1" applyFont="1" applyBorder="1"/>
    <xf numFmtId="9" fontId="0" fillId="0" borderId="1" xfId="2" applyNumberFormat="1" applyFont="1" applyBorder="1"/>
    <xf numFmtId="165" fontId="0" fillId="13" borderId="1" xfId="2" applyNumberFormat="1" applyFont="1" applyFill="1" applyBorder="1" applyAlignment="1">
      <alignment horizontal="center"/>
    </xf>
    <xf numFmtId="0" fontId="0" fillId="0" borderId="1" xfId="2" applyNumberFormat="1" applyFont="1" applyBorder="1"/>
    <xf numFmtId="165" fontId="0" fillId="0" borderId="0" xfId="0" applyNumberFormat="1"/>
    <xf numFmtId="165" fontId="0" fillId="0" borderId="1" xfId="2" applyNumberFormat="1" applyFont="1" applyBorder="1" applyAlignment="1">
      <alignment horizontal="center"/>
    </xf>
    <xf numFmtId="165" fontId="1" fillId="2" borderId="1" xfId="2" applyNumberFormat="1" applyFont="1" applyFill="1" applyBorder="1" applyAlignment="1">
      <alignment vertical="top" wrapText="1"/>
    </xf>
    <xf numFmtId="165" fontId="0" fillId="0" borderId="1" xfId="0" applyNumberFormat="1" applyBorder="1"/>
    <xf numFmtId="0" fontId="0" fillId="4" borderId="1" xfId="0" applyFill="1" applyBorder="1"/>
    <xf numFmtId="165" fontId="0" fillId="0" borderId="0" xfId="3" applyNumberFormat="1" applyFont="1"/>
    <xf numFmtId="165" fontId="0" fillId="14" borderId="1" xfId="2" applyNumberFormat="1" applyFont="1" applyFill="1" applyBorder="1" applyAlignment="1">
      <alignment horizontal="center"/>
    </xf>
    <xf numFmtId="165" fontId="0" fillId="14" borderId="1" xfId="2" applyNumberFormat="1" applyFont="1" applyFill="1" applyBorder="1" applyAlignment="1">
      <alignment horizontal="center" vertical="center"/>
    </xf>
    <xf numFmtId="165" fontId="1" fillId="4" borderId="1" xfId="2" applyNumberFormat="1" applyFont="1" applyFill="1" applyBorder="1" applyAlignment="1">
      <alignment vertical="top" wrapText="1"/>
    </xf>
    <xf numFmtId="17" fontId="0" fillId="0" borderId="1" xfId="0" applyNumberFormat="1" applyBorder="1" applyAlignment="1">
      <alignment horizontal="left"/>
    </xf>
    <xf numFmtId="165" fontId="0" fillId="0" borderId="1" xfId="2" applyNumberFormat="1" applyFont="1" applyBorder="1" applyAlignment="1">
      <alignment horizontal="center" vertical="center"/>
    </xf>
    <xf numFmtId="0" fontId="0" fillId="12" borderId="1" xfId="0" applyFill="1" applyBorder="1" applyAlignment="1">
      <alignment horizontal="right"/>
    </xf>
    <xf numFmtId="0" fontId="1" fillId="2" borderId="6" xfId="0" applyFont="1" applyFill="1" applyBorder="1"/>
    <xf numFmtId="165" fontId="1" fillId="2" borderId="6" xfId="2" applyNumberFormat="1" applyFont="1" applyFill="1" applyBorder="1" applyAlignment="1">
      <alignment horizontal="center" vertical="top" wrapText="1"/>
    </xf>
    <xf numFmtId="0" fontId="3" fillId="15" borderId="1" xfId="1" applyFont="1" applyFill="1" applyBorder="1" applyAlignment="1">
      <alignment vertical="center" wrapText="1"/>
    </xf>
    <xf numFmtId="0" fontId="0" fillId="15" borderId="1" xfId="0" applyFill="1" applyBorder="1" applyAlignment="1">
      <alignment vertical="top" wrapText="1"/>
    </xf>
    <xf numFmtId="0" fontId="0" fillId="15" borderId="1" xfId="0" applyFill="1" applyBorder="1"/>
    <xf numFmtId="165" fontId="0" fillId="0" borderId="0" xfId="2" applyNumberFormat="1" applyFont="1"/>
    <xf numFmtId="2" fontId="0" fillId="0" borderId="0" xfId="0" applyNumberFormat="1"/>
    <xf numFmtId="164" fontId="0" fillId="2" borderId="4" xfId="0" applyNumberFormat="1" applyFill="1" applyBorder="1" applyAlignment="1">
      <alignment horizontal="center" vertical="top" wrapText="1"/>
    </xf>
    <xf numFmtId="165" fontId="8" fillId="4" borderId="6" xfId="2" applyNumberFormat="1" applyFont="1" applyFill="1" applyBorder="1" applyAlignment="1">
      <alignment horizontal="center" vertical="center"/>
    </xf>
    <xf numFmtId="165" fontId="11" fillId="2" borderId="6" xfId="2" applyNumberFormat="1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top" wrapText="1"/>
    </xf>
    <xf numFmtId="164" fontId="0" fillId="2" borderId="3" xfId="0" applyNumberFormat="1" applyFill="1" applyBorder="1" applyAlignment="1">
      <alignment horizontal="center" vertical="top" wrapText="1"/>
    </xf>
    <xf numFmtId="164" fontId="0" fillId="2" borderId="4" xfId="0" applyNumberForma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5" fontId="1" fillId="7" borderId="6" xfId="2" applyNumberFormat="1" applyFont="1" applyFill="1" applyBorder="1" applyAlignment="1">
      <alignment horizontal="center" vertical="top" wrapText="1"/>
    </xf>
    <xf numFmtId="165" fontId="0" fillId="7" borderId="0" xfId="2" applyNumberFormat="1" applyFont="1" applyFill="1"/>
  </cellXfs>
  <cellStyles count="4">
    <cellStyle name="Обычный" xfId="0" builtinId="0"/>
    <cellStyle name="Обычный_Январь 2018" xfId="1" xr:uid="{1C2EDA90-3CC4-4AC5-8D58-70E99C0EF491}"/>
    <cellStyle name="Процентный" xfId="3" builtinId="5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B35F-BE81-4242-B438-BBD5D730D3AA}">
  <sheetPr>
    <pageSetUpPr fitToPage="1"/>
  </sheetPr>
  <dimension ref="A2:AE236"/>
  <sheetViews>
    <sheetView tabSelected="1" topLeftCell="A31" zoomScale="70" zoomScaleNormal="70" workbookViewId="0">
      <selection activeCell="G79" sqref="G79"/>
    </sheetView>
  </sheetViews>
  <sheetFormatPr defaultRowHeight="15" x14ac:dyDescent="0.25"/>
  <cols>
    <col min="1" max="1" width="5.7109375" customWidth="1"/>
    <col min="2" max="2" width="34.7109375" bestFit="1" customWidth="1"/>
    <col min="3" max="3" width="14.42578125" customWidth="1"/>
    <col min="4" max="4" width="18.28515625" bestFit="1" customWidth="1"/>
    <col min="5" max="6" width="12.5703125" bestFit="1" customWidth="1"/>
    <col min="7" max="7" width="16.140625" bestFit="1" customWidth="1"/>
    <col min="8" max="12" width="12.5703125" bestFit="1" customWidth="1"/>
    <col min="13" max="13" width="15" bestFit="1" customWidth="1"/>
    <col min="14" max="14" width="14.140625" bestFit="1" customWidth="1"/>
    <col min="15" max="15" width="15.42578125" bestFit="1" customWidth="1"/>
    <col min="16" max="16" width="16.85546875" customWidth="1"/>
    <col min="17" max="17" width="17.28515625" bestFit="1" customWidth="1"/>
    <col min="18" max="18" width="10.5703125" bestFit="1" customWidth="1"/>
    <col min="19" max="19" width="12.5703125" bestFit="1" customWidth="1"/>
    <col min="20" max="20" width="30.140625" bestFit="1" customWidth="1"/>
    <col min="21" max="21" width="34.7109375" bestFit="1" customWidth="1"/>
    <col min="22" max="22" width="11.7109375" bestFit="1" customWidth="1"/>
    <col min="23" max="23" width="17.28515625" bestFit="1" customWidth="1"/>
    <col min="24" max="26" width="20.7109375" bestFit="1" customWidth="1"/>
    <col min="27" max="27" width="10.7109375" bestFit="1" customWidth="1"/>
    <col min="28" max="28" width="16.5703125" bestFit="1" customWidth="1"/>
    <col min="29" max="31" width="17.7109375" bestFit="1" customWidth="1"/>
  </cols>
  <sheetData>
    <row r="2" spans="1:31" x14ac:dyDescent="0.25">
      <c r="E2" s="1"/>
      <c r="F2" s="1"/>
      <c r="G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31" x14ac:dyDescent="0.25">
      <c r="B3" s="65" t="s">
        <v>16</v>
      </c>
      <c r="C3" s="65" t="s">
        <v>153</v>
      </c>
      <c r="D3" s="67" t="s">
        <v>1</v>
      </c>
      <c r="E3" s="68" t="s">
        <v>2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0"/>
      <c r="Q3" s="71" t="s">
        <v>187</v>
      </c>
      <c r="R3" s="63" t="s">
        <v>197</v>
      </c>
      <c r="U3" s="29" t="s">
        <v>16</v>
      </c>
      <c r="V3" s="29" t="s">
        <v>160</v>
      </c>
      <c r="W3" s="29" t="s">
        <v>161</v>
      </c>
      <c r="X3" s="29" t="s">
        <v>162</v>
      </c>
      <c r="Y3" s="29" t="s">
        <v>163</v>
      </c>
      <c r="Z3" s="29" t="s">
        <v>164</v>
      </c>
      <c r="AA3" s="29" t="s">
        <v>150</v>
      </c>
      <c r="AB3" s="29" t="s">
        <v>165</v>
      </c>
      <c r="AC3" s="29" t="s">
        <v>166</v>
      </c>
      <c r="AD3" s="29" t="s">
        <v>167</v>
      </c>
      <c r="AE3" s="29" t="s">
        <v>177</v>
      </c>
    </row>
    <row r="4" spans="1:31" x14ac:dyDescent="0.25">
      <c r="B4" s="66"/>
      <c r="C4" s="66"/>
      <c r="D4" s="67"/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183</v>
      </c>
      <c r="N4" s="3" t="s">
        <v>184</v>
      </c>
      <c r="O4" s="3" t="s">
        <v>185</v>
      </c>
      <c r="P4" s="3" t="s">
        <v>195</v>
      </c>
      <c r="Q4" s="72"/>
      <c r="R4" s="64"/>
      <c r="U4" s="8" t="s">
        <v>138</v>
      </c>
      <c r="V4" s="37">
        <v>70000</v>
      </c>
      <c r="W4" s="37">
        <v>87500</v>
      </c>
      <c r="X4" s="37">
        <v>104500</v>
      </c>
      <c r="Y4" s="37">
        <f>W4-V4</f>
        <v>17500</v>
      </c>
      <c r="Z4" s="37">
        <f>X4-V4</f>
        <v>34500</v>
      </c>
      <c r="AA4" s="38"/>
      <c r="AB4" s="37"/>
      <c r="AC4" s="37">
        <f>W4-V4</f>
        <v>17500</v>
      </c>
      <c r="AD4" s="37">
        <f>X4-V4</f>
        <v>34500</v>
      </c>
      <c r="AE4" s="8"/>
    </row>
    <row r="5" spans="1:31" x14ac:dyDescent="0.25">
      <c r="A5" s="8">
        <v>1</v>
      </c>
      <c r="B5" s="16" t="s">
        <v>146</v>
      </c>
      <c r="C5" s="8">
        <v>12</v>
      </c>
      <c r="D5" s="9" t="s">
        <v>41</v>
      </c>
      <c r="E5" s="27">
        <f>E85+E164</f>
        <v>113000</v>
      </c>
      <c r="F5" s="27">
        <f t="shared" ref="F5:O20" si="0">F85+F164</f>
        <v>185000</v>
      </c>
      <c r="G5" s="27">
        <f t="shared" si="0"/>
        <v>120000</v>
      </c>
      <c r="H5" s="27">
        <f t="shared" si="0"/>
        <v>120000</v>
      </c>
      <c r="I5" s="27">
        <f t="shared" si="0"/>
        <v>120000</v>
      </c>
      <c r="J5" s="27">
        <f t="shared" si="0"/>
        <v>120000</v>
      </c>
      <c r="K5" s="27">
        <f t="shared" si="0"/>
        <v>120000</v>
      </c>
      <c r="L5" s="27">
        <f t="shared" si="0"/>
        <v>120000</v>
      </c>
      <c r="M5" s="47">
        <f t="shared" si="0"/>
        <v>120000</v>
      </c>
      <c r="N5" s="47">
        <f t="shared" si="0"/>
        <v>120000</v>
      </c>
      <c r="O5" s="47">
        <f t="shared" si="0"/>
        <v>120000</v>
      </c>
      <c r="P5" s="47">
        <f>P85+P164+R5</f>
        <v>176825</v>
      </c>
      <c r="Q5" s="28">
        <f>SUM(E5:L5,M5,N5,O5,P5)</f>
        <v>1554825</v>
      </c>
      <c r="R5" s="42">
        <v>50000</v>
      </c>
      <c r="U5" s="8" t="s">
        <v>146</v>
      </c>
      <c r="V5" s="37">
        <v>68250</v>
      </c>
      <c r="W5" s="37">
        <v>85300</v>
      </c>
      <c r="X5" s="37">
        <v>102375</v>
      </c>
      <c r="Y5" s="37">
        <f t="shared" ref="Y5:Y19" si="1">W5-V5</f>
        <v>17050</v>
      </c>
      <c r="Z5" s="37">
        <f t="shared" ref="Z5:Z19" si="2">X5-V5</f>
        <v>34125</v>
      </c>
      <c r="AA5" s="38">
        <v>0.1</v>
      </c>
      <c r="AB5" s="37">
        <f>80000-V5-V5*AA5</f>
        <v>4925</v>
      </c>
      <c r="AC5" s="37">
        <f>100000-W5-W5*AA5</f>
        <v>6170</v>
      </c>
      <c r="AD5" s="37">
        <f>120000-X5-X5*AA5</f>
        <v>7387.5</v>
      </c>
      <c r="AE5" s="8"/>
    </row>
    <row r="6" spans="1:31" x14ac:dyDescent="0.25">
      <c r="A6" s="8">
        <v>2</v>
      </c>
      <c r="B6" s="14" t="s">
        <v>65</v>
      </c>
      <c r="C6" s="8">
        <v>12</v>
      </c>
      <c r="D6" s="9" t="s">
        <v>17</v>
      </c>
      <c r="E6" s="27">
        <f t="shared" ref="E6:O21" si="3">E86+E165</f>
        <v>120000</v>
      </c>
      <c r="F6" s="27">
        <f t="shared" si="3"/>
        <v>192000</v>
      </c>
      <c r="G6" s="27">
        <f t="shared" si="3"/>
        <v>127000</v>
      </c>
      <c r="H6" s="27">
        <f t="shared" si="3"/>
        <v>127000</v>
      </c>
      <c r="I6" s="27">
        <f t="shared" si="3"/>
        <v>127000</v>
      </c>
      <c r="J6" s="27">
        <f t="shared" si="3"/>
        <v>127000</v>
      </c>
      <c r="K6" s="27">
        <f t="shared" si="3"/>
        <v>127000</v>
      </c>
      <c r="L6" s="27">
        <f t="shared" si="3"/>
        <v>127000</v>
      </c>
      <c r="M6" s="47">
        <f t="shared" si="0"/>
        <v>127000</v>
      </c>
      <c r="N6" s="47">
        <f t="shared" si="0"/>
        <v>127000</v>
      </c>
      <c r="O6" s="47">
        <f t="shared" si="0"/>
        <v>127000</v>
      </c>
      <c r="P6" s="47">
        <f>P86+P165+R6</f>
        <v>183825</v>
      </c>
      <c r="Q6" s="28">
        <f>SUM(E6:L6,M6,N6,O6,P6)</f>
        <v>1638825</v>
      </c>
      <c r="R6" s="42">
        <v>50000</v>
      </c>
      <c r="U6" s="8" t="s">
        <v>145</v>
      </c>
      <c r="V6" s="37">
        <v>68250</v>
      </c>
      <c r="W6" s="37">
        <v>85300</v>
      </c>
      <c r="X6" s="37">
        <v>102375</v>
      </c>
      <c r="Y6" s="37">
        <f t="shared" si="1"/>
        <v>17050</v>
      </c>
      <c r="Z6" s="37">
        <f>X6-V6</f>
        <v>34125</v>
      </c>
      <c r="AA6" s="38">
        <v>0.1</v>
      </c>
      <c r="AB6" s="37">
        <f t="shared" ref="AB6:AB16" si="4">80000-V6-V6*AA6</f>
        <v>4925</v>
      </c>
      <c r="AC6" s="37">
        <f t="shared" ref="AC6:AC16" si="5">100000-W6-W6*AA6</f>
        <v>6170</v>
      </c>
      <c r="AD6" s="37">
        <f t="shared" ref="AD6:AD16" si="6">120000-X6-X6*AA6</f>
        <v>7387.5</v>
      </c>
      <c r="AE6" s="8"/>
    </row>
    <row r="7" spans="1:31" x14ac:dyDescent="0.25">
      <c r="A7" s="8">
        <v>3</v>
      </c>
      <c r="B7" s="16" t="s">
        <v>146</v>
      </c>
      <c r="C7" s="8">
        <v>10</v>
      </c>
      <c r="D7" s="9" t="s">
        <v>18</v>
      </c>
      <c r="E7" s="27">
        <f t="shared" si="3"/>
        <v>94000</v>
      </c>
      <c r="F7" s="27">
        <f t="shared" si="3"/>
        <v>167000</v>
      </c>
      <c r="G7" s="27">
        <f t="shared" si="3"/>
        <v>100000</v>
      </c>
      <c r="H7" s="27">
        <f t="shared" si="3"/>
        <v>100000</v>
      </c>
      <c r="I7" s="27">
        <f t="shared" si="3"/>
        <v>100000</v>
      </c>
      <c r="J7" s="27">
        <f t="shared" si="3"/>
        <v>100000</v>
      </c>
      <c r="K7" s="27">
        <f t="shared" si="3"/>
        <v>100000</v>
      </c>
      <c r="L7" s="27">
        <f t="shared" si="3"/>
        <v>100000</v>
      </c>
      <c r="M7" s="47">
        <f t="shared" si="0"/>
        <v>100000</v>
      </c>
      <c r="N7" s="47">
        <f t="shared" si="0"/>
        <v>100000</v>
      </c>
      <c r="O7" s="47">
        <f t="shared" si="0"/>
        <v>100000</v>
      </c>
      <c r="P7" s="47">
        <f>P87+P166+R7</f>
        <v>156825</v>
      </c>
      <c r="Q7" s="28">
        <f>SUM(E7:L7,M7,N7,O7,P7)</f>
        <v>1317825</v>
      </c>
      <c r="R7" s="42">
        <v>50000</v>
      </c>
      <c r="U7" s="8" t="s">
        <v>65</v>
      </c>
      <c r="V7" s="37">
        <v>68250</v>
      </c>
      <c r="W7" s="37">
        <v>85300</v>
      </c>
      <c r="X7" s="37">
        <v>102375</v>
      </c>
      <c r="Y7" s="37">
        <f t="shared" si="1"/>
        <v>17050</v>
      </c>
      <c r="Z7" s="37">
        <f t="shared" si="2"/>
        <v>34125</v>
      </c>
      <c r="AA7" s="38">
        <v>0.1</v>
      </c>
      <c r="AB7" s="37">
        <f t="shared" si="4"/>
        <v>4925</v>
      </c>
      <c r="AC7" s="37">
        <f t="shared" si="5"/>
        <v>6170</v>
      </c>
      <c r="AD7" s="37">
        <f t="shared" si="6"/>
        <v>7387.5</v>
      </c>
      <c r="AE7" s="8">
        <v>7000</v>
      </c>
    </row>
    <row r="8" spans="1:31" x14ac:dyDescent="0.25">
      <c r="A8" s="8">
        <v>4</v>
      </c>
      <c r="B8" s="16" t="s">
        <v>146</v>
      </c>
      <c r="C8" s="8">
        <v>12</v>
      </c>
      <c r="D8" s="9" t="s">
        <v>42</v>
      </c>
      <c r="E8" s="27">
        <f t="shared" si="3"/>
        <v>110000</v>
      </c>
      <c r="F8" s="27">
        <f t="shared" si="3"/>
        <v>176000</v>
      </c>
      <c r="G8" s="27">
        <f t="shared" si="3"/>
        <v>120000</v>
      </c>
      <c r="H8" s="27">
        <f t="shared" si="3"/>
        <v>120000</v>
      </c>
      <c r="I8" s="27">
        <f t="shared" si="3"/>
        <v>120000</v>
      </c>
      <c r="J8" s="27">
        <f t="shared" si="3"/>
        <v>120000</v>
      </c>
      <c r="K8" s="27">
        <f t="shared" si="3"/>
        <v>120000</v>
      </c>
      <c r="L8" s="27">
        <f t="shared" si="3"/>
        <v>120000</v>
      </c>
      <c r="M8" s="47">
        <f t="shared" si="0"/>
        <v>120000</v>
      </c>
      <c r="N8" s="47">
        <f t="shared" si="0"/>
        <v>120000</v>
      </c>
      <c r="O8" s="47">
        <f t="shared" si="0"/>
        <v>120000</v>
      </c>
      <c r="P8" s="47">
        <f>P88+P167+R8</f>
        <v>176825</v>
      </c>
      <c r="Q8" s="28">
        <f>SUM(E8:L8,M8,N8,O8,P8)</f>
        <v>1542825</v>
      </c>
      <c r="R8" s="42">
        <v>50000</v>
      </c>
      <c r="U8" s="8" t="s">
        <v>63</v>
      </c>
      <c r="V8" s="37">
        <v>68250</v>
      </c>
      <c r="W8" s="37">
        <v>85300</v>
      </c>
      <c r="X8" s="37">
        <v>102375</v>
      </c>
      <c r="Y8" s="37">
        <f t="shared" si="1"/>
        <v>17050</v>
      </c>
      <c r="Z8" s="37">
        <f t="shared" si="2"/>
        <v>34125</v>
      </c>
      <c r="AA8" s="38">
        <v>0.1</v>
      </c>
      <c r="AB8" s="37">
        <f t="shared" si="4"/>
        <v>4925</v>
      </c>
      <c r="AC8" s="37">
        <f t="shared" si="5"/>
        <v>6170</v>
      </c>
      <c r="AD8" s="37">
        <f t="shared" si="6"/>
        <v>7387.5</v>
      </c>
      <c r="AE8" s="8">
        <v>7000</v>
      </c>
    </row>
    <row r="9" spans="1:31" x14ac:dyDescent="0.25">
      <c r="A9" s="8">
        <v>5</v>
      </c>
      <c r="B9" s="14" t="s">
        <v>63</v>
      </c>
      <c r="C9" s="8">
        <v>10</v>
      </c>
      <c r="D9" s="10" t="s">
        <v>43</v>
      </c>
      <c r="E9" s="27">
        <f t="shared" si="3"/>
        <v>101000</v>
      </c>
      <c r="F9" s="27">
        <f t="shared" si="3"/>
        <v>174000</v>
      </c>
      <c r="G9" s="27">
        <f t="shared" si="3"/>
        <v>107000</v>
      </c>
      <c r="H9" s="27">
        <f t="shared" si="3"/>
        <v>107000</v>
      </c>
      <c r="I9" s="27">
        <f t="shared" si="3"/>
        <v>107000</v>
      </c>
      <c r="J9" s="27">
        <f t="shared" si="3"/>
        <v>107000</v>
      </c>
      <c r="K9" s="27">
        <f t="shared" si="3"/>
        <v>107000</v>
      </c>
      <c r="L9" s="27">
        <f t="shared" si="3"/>
        <v>107000</v>
      </c>
      <c r="M9" s="47">
        <f t="shared" si="0"/>
        <v>107000</v>
      </c>
      <c r="N9" s="47">
        <f t="shared" si="0"/>
        <v>107000</v>
      </c>
      <c r="O9" s="47">
        <f t="shared" si="0"/>
        <v>107000</v>
      </c>
      <c r="P9" s="47">
        <f>P89+P168+R9</f>
        <v>163825</v>
      </c>
      <c r="Q9" s="28">
        <f>SUM(E9:L9,M9,N9,O9,P9)</f>
        <v>1401825</v>
      </c>
      <c r="R9" s="42">
        <v>50000</v>
      </c>
      <c r="U9" s="8" t="s">
        <v>64</v>
      </c>
      <c r="V9" s="37">
        <v>68250</v>
      </c>
      <c r="W9" s="37">
        <v>85300</v>
      </c>
      <c r="X9" s="37">
        <v>102375</v>
      </c>
      <c r="Y9" s="37">
        <f t="shared" si="1"/>
        <v>17050</v>
      </c>
      <c r="Z9" s="37">
        <f t="shared" si="2"/>
        <v>34125</v>
      </c>
      <c r="AA9" s="38">
        <v>0.1</v>
      </c>
      <c r="AB9" s="37">
        <f t="shared" si="4"/>
        <v>4925</v>
      </c>
      <c r="AC9" s="37">
        <f t="shared" si="5"/>
        <v>6170</v>
      </c>
      <c r="AD9" s="37">
        <f t="shared" si="6"/>
        <v>7387.5</v>
      </c>
      <c r="AE9" s="8">
        <v>7000</v>
      </c>
    </row>
    <row r="10" spans="1:31" x14ac:dyDescent="0.25">
      <c r="A10" s="8">
        <v>6</v>
      </c>
      <c r="B10" s="16" t="s">
        <v>146</v>
      </c>
      <c r="C10" s="8">
        <v>10</v>
      </c>
      <c r="D10" s="9" t="s">
        <v>19</v>
      </c>
      <c r="E10" s="27">
        <f t="shared" si="3"/>
        <v>94000</v>
      </c>
      <c r="F10" s="27">
        <f t="shared" si="3"/>
        <v>167000</v>
      </c>
      <c r="G10" s="27">
        <f t="shared" si="3"/>
        <v>100000</v>
      </c>
      <c r="H10" s="27">
        <f t="shared" si="3"/>
        <v>100000</v>
      </c>
      <c r="I10" s="27">
        <f t="shared" si="3"/>
        <v>100000</v>
      </c>
      <c r="J10" s="27">
        <f t="shared" si="3"/>
        <v>100000</v>
      </c>
      <c r="K10" s="27">
        <f t="shared" si="3"/>
        <v>100000</v>
      </c>
      <c r="L10" s="27">
        <f t="shared" si="3"/>
        <v>100000</v>
      </c>
      <c r="M10" s="47">
        <f t="shared" si="0"/>
        <v>100000</v>
      </c>
      <c r="N10" s="47">
        <f t="shared" si="0"/>
        <v>100000</v>
      </c>
      <c r="O10" s="47">
        <f t="shared" si="0"/>
        <v>100000</v>
      </c>
      <c r="P10" s="47">
        <f>P90+P169+R10</f>
        <v>156825</v>
      </c>
      <c r="Q10" s="28">
        <f>SUM(E10:L10,M10,N10,O10,P10)</f>
        <v>1317825</v>
      </c>
      <c r="R10" s="42">
        <v>50000</v>
      </c>
      <c r="U10" s="8" t="s">
        <v>66</v>
      </c>
      <c r="V10" s="37">
        <v>68250</v>
      </c>
      <c r="W10" s="37">
        <v>85300</v>
      </c>
      <c r="X10" s="37">
        <v>102375</v>
      </c>
      <c r="Y10" s="37">
        <f t="shared" si="1"/>
        <v>17050</v>
      </c>
      <c r="Z10" s="37">
        <f t="shared" si="2"/>
        <v>34125</v>
      </c>
      <c r="AA10" s="38">
        <v>0.1</v>
      </c>
      <c r="AB10" s="37">
        <f t="shared" si="4"/>
        <v>4925</v>
      </c>
      <c r="AC10" s="37">
        <f t="shared" si="5"/>
        <v>6170</v>
      </c>
      <c r="AD10" s="37">
        <f t="shared" si="6"/>
        <v>7387.5</v>
      </c>
      <c r="AE10" s="8">
        <v>7000</v>
      </c>
    </row>
    <row r="11" spans="1:31" x14ac:dyDescent="0.25">
      <c r="A11" s="8">
        <v>7</v>
      </c>
      <c r="B11" s="15" t="s">
        <v>67</v>
      </c>
      <c r="C11" s="8">
        <v>8</v>
      </c>
      <c r="D11" s="10" t="s">
        <v>44</v>
      </c>
      <c r="E11" s="27">
        <f t="shared" si="3"/>
        <v>76000</v>
      </c>
      <c r="F11" s="27">
        <f t="shared" si="3"/>
        <v>148000</v>
      </c>
      <c r="G11" s="27">
        <f t="shared" si="3"/>
        <v>80000</v>
      </c>
      <c r="H11" s="27">
        <f t="shared" si="3"/>
        <v>80000</v>
      </c>
      <c r="I11" s="27">
        <f t="shared" si="3"/>
        <v>80000</v>
      </c>
      <c r="J11" s="27">
        <f t="shared" si="3"/>
        <v>80000</v>
      </c>
      <c r="K11" s="27">
        <f t="shared" si="3"/>
        <v>80000</v>
      </c>
      <c r="L11" s="27">
        <f t="shared" si="3"/>
        <v>80000</v>
      </c>
      <c r="M11" s="47">
        <f t="shared" si="0"/>
        <v>80000</v>
      </c>
      <c r="N11" s="47">
        <f t="shared" si="0"/>
        <v>80000</v>
      </c>
      <c r="O11" s="47">
        <f t="shared" si="0"/>
        <v>80000</v>
      </c>
      <c r="P11" s="47">
        <f>P91+P170+R11</f>
        <v>136825</v>
      </c>
      <c r="Q11" s="28">
        <f>SUM(E11:L11,M11,N11,O11,P11)</f>
        <v>1080825</v>
      </c>
      <c r="R11" s="42">
        <v>50000</v>
      </c>
      <c r="U11" s="8" t="s">
        <v>59</v>
      </c>
      <c r="V11" s="37">
        <v>68250</v>
      </c>
      <c r="W11" s="37">
        <v>85300</v>
      </c>
      <c r="X11" s="37">
        <v>102375</v>
      </c>
      <c r="Y11" s="37">
        <f t="shared" si="1"/>
        <v>17050</v>
      </c>
      <c r="Z11" s="37">
        <f t="shared" si="2"/>
        <v>34125</v>
      </c>
      <c r="AA11" s="38">
        <v>0.1</v>
      </c>
      <c r="AB11" s="37">
        <f t="shared" si="4"/>
        <v>4925</v>
      </c>
      <c r="AC11" s="37">
        <f t="shared" si="5"/>
        <v>6170</v>
      </c>
      <c r="AD11" s="37">
        <f t="shared" si="6"/>
        <v>7387.5</v>
      </c>
      <c r="AE11" s="8">
        <v>10000</v>
      </c>
    </row>
    <row r="12" spans="1:31" x14ac:dyDescent="0.25">
      <c r="A12" s="8">
        <v>8</v>
      </c>
      <c r="B12" s="14" t="s">
        <v>64</v>
      </c>
      <c r="C12" s="8">
        <v>12</v>
      </c>
      <c r="D12" s="11" t="s">
        <v>20</v>
      </c>
      <c r="E12" s="27">
        <f t="shared" si="3"/>
        <v>138000</v>
      </c>
      <c r="F12" s="27">
        <f t="shared" si="3"/>
        <v>206000</v>
      </c>
      <c r="G12" s="27">
        <f t="shared" si="3"/>
        <v>145769.25</v>
      </c>
      <c r="H12" s="27">
        <f t="shared" si="3"/>
        <v>145769.25</v>
      </c>
      <c r="I12" s="27">
        <f t="shared" si="3"/>
        <v>145769.25</v>
      </c>
      <c r="J12" s="27">
        <f t="shared" si="3"/>
        <v>145769.25</v>
      </c>
      <c r="K12" s="27">
        <f t="shared" si="3"/>
        <v>145769.25</v>
      </c>
      <c r="L12" s="27">
        <f t="shared" si="3"/>
        <v>145769.25</v>
      </c>
      <c r="M12" s="47">
        <f t="shared" si="0"/>
        <v>145769.25</v>
      </c>
      <c r="N12" s="47">
        <f t="shared" si="0"/>
        <v>145769.25</v>
      </c>
      <c r="O12" s="47">
        <f t="shared" si="0"/>
        <v>145769.25</v>
      </c>
      <c r="P12" s="47">
        <f>P92+P171+R12</f>
        <v>202594.25</v>
      </c>
      <c r="Q12" s="28">
        <f>SUM(E12:L12,M12,N12,O12,P12)</f>
        <v>1858517.5</v>
      </c>
      <c r="R12" s="42">
        <v>50000</v>
      </c>
      <c r="T12" s="41"/>
      <c r="U12" s="8" t="s">
        <v>62</v>
      </c>
      <c r="V12" s="37">
        <v>68250</v>
      </c>
      <c r="W12" s="37">
        <v>85300</v>
      </c>
      <c r="X12" s="37">
        <v>102375</v>
      </c>
      <c r="Y12" s="37">
        <f t="shared" si="1"/>
        <v>17050</v>
      </c>
      <c r="Z12" s="37">
        <f t="shared" si="2"/>
        <v>34125</v>
      </c>
      <c r="AA12" s="38">
        <v>0.1</v>
      </c>
      <c r="AB12" s="37">
        <f t="shared" si="4"/>
        <v>4925</v>
      </c>
      <c r="AC12" s="37">
        <f t="shared" si="5"/>
        <v>6170</v>
      </c>
      <c r="AD12" s="37">
        <f t="shared" si="6"/>
        <v>7387.5</v>
      </c>
      <c r="AE12" s="8">
        <v>7000</v>
      </c>
    </row>
    <row r="13" spans="1:31" x14ac:dyDescent="0.25">
      <c r="A13" s="8">
        <v>9</v>
      </c>
      <c r="B13" s="16" t="s">
        <v>146</v>
      </c>
      <c r="C13" s="8">
        <v>12</v>
      </c>
      <c r="D13" s="11" t="s">
        <v>45</v>
      </c>
      <c r="E13" s="27">
        <f t="shared" si="3"/>
        <v>104000</v>
      </c>
      <c r="F13" s="27">
        <f t="shared" si="3"/>
        <v>176000</v>
      </c>
      <c r="G13" s="27">
        <f t="shared" si="3"/>
        <v>120000</v>
      </c>
      <c r="H13" s="27">
        <f t="shared" si="3"/>
        <v>120000</v>
      </c>
      <c r="I13" s="27">
        <f t="shared" si="3"/>
        <v>120000</v>
      </c>
      <c r="J13" s="27">
        <f t="shared" si="3"/>
        <v>120000</v>
      </c>
      <c r="K13" s="27">
        <f t="shared" si="3"/>
        <v>120000</v>
      </c>
      <c r="L13" s="27">
        <f t="shared" si="3"/>
        <v>120000</v>
      </c>
      <c r="M13" s="47">
        <f t="shared" si="0"/>
        <v>120000</v>
      </c>
      <c r="N13" s="47">
        <f t="shared" si="0"/>
        <v>120000</v>
      </c>
      <c r="O13" s="47">
        <f t="shared" si="0"/>
        <v>120000</v>
      </c>
      <c r="P13" s="47">
        <f>P93+P172+R13</f>
        <v>176825</v>
      </c>
      <c r="Q13" s="28">
        <f>SUM(E13:L13,M13,N13,O13,P13)</f>
        <v>1536825</v>
      </c>
      <c r="R13" s="42">
        <v>50000</v>
      </c>
      <c r="T13" s="41"/>
      <c r="U13" s="8" t="s">
        <v>67</v>
      </c>
      <c r="V13" s="37">
        <v>68250</v>
      </c>
      <c r="W13" s="37">
        <v>85300</v>
      </c>
      <c r="X13" s="37">
        <v>102375</v>
      </c>
      <c r="Y13" s="37">
        <f t="shared" si="1"/>
        <v>17050</v>
      </c>
      <c r="Z13" s="37">
        <f t="shared" si="2"/>
        <v>34125</v>
      </c>
      <c r="AA13" s="38">
        <v>0.1</v>
      </c>
      <c r="AB13" s="37">
        <f t="shared" si="4"/>
        <v>4925</v>
      </c>
      <c r="AC13" s="37">
        <f t="shared" si="5"/>
        <v>6170</v>
      </c>
      <c r="AD13" s="37">
        <f t="shared" si="6"/>
        <v>7387.5</v>
      </c>
      <c r="AE13" s="8"/>
    </row>
    <row r="14" spans="1:31" x14ac:dyDescent="0.25">
      <c r="A14" s="8">
        <v>10</v>
      </c>
      <c r="B14" s="15" t="s">
        <v>60</v>
      </c>
      <c r="C14" s="8">
        <v>10</v>
      </c>
      <c r="D14" s="9" t="s">
        <v>21</v>
      </c>
      <c r="E14" s="27">
        <f t="shared" si="3"/>
        <v>94000</v>
      </c>
      <c r="F14" s="27">
        <f t="shared" si="3"/>
        <v>167000</v>
      </c>
      <c r="G14" s="27">
        <f t="shared" si="3"/>
        <v>100000</v>
      </c>
      <c r="H14" s="27">
        <f t="shared" si="3"/>
        <v>100000</v>
      </c>
      <c r="I14" s="27">
        <f t="shared" si="3"/>
        <v>100000</v>
      </c>
      <c r="J14" s="27">
        <f t="shared" si="3"/>
        <v>100000</v>
      </c>
      <c r="K14" s="27">
        <f t="shared" si="3"/>
        <v>100000</v>
      </c>
      <c r="L14" s="27">
        <f t="shared" si="3"/>
        <v>100000</v>
      </c>
      <c r="M14" s="47">
        <f t="shared" si="0"/>
        <v>100000</v>
      </c>
      <c r="N14" s="47">
        <f t="shared" si="0"/>
        <v>100000</v>
      </c>
      <c r="O14" s="47">
        <f t="shared" si="0"/>
        <v>100000</v>
      </c>
      <c r="P14" s="47">
        <f>P94+P173+R14</f>
        <v>156825</v>
      </c>
      <c r="Q14" s="28">
        <f>SUM(E14:L14,M14,N14,O14,P14)</f>
        <v>1317825</v>
      </c>
      <c r="R14" s="42">
        <v>50000</v>
      </c>
      <c r="U14" s="8" t="s">
        <v>61</v>
      </c>
      <c r="V14" s="37">
        <v>68250</v>
      </c>
      <c r="W14" s="37">
        <v>85300</v>
      </c>
      <c r="X14" s="37">
        <v>102375</v>
      </c>
      <c r="Y14" s="37">
        <f t="shared" si="1"/>
        <v>17050</v>
      </c>
      <c r="Z14" s="37">
        <f t="shared" si="2"/>
        <v>34125</v>
      </c>
      <c r="AA14" s="38">
        <v>0.1</v>
      </c>
      <c r="AB14" s="37">
        <f t="shared" si="4"/>
        <v>4925</v>
      </c>
      <c r="AC14" s="37">
        <f t="shared" si="5"/>
        <v>6170</v>
      </c>
      <c r="AD14" s="37">
        <f t="shared" si="6"/>
        <v>7387.5</v>
      </c>
      <c r="AE14" s="8"/>
    </row>
    <row r="15" spans="1:31" x14ac:dyDescent="0.25">
      <c r="A15" s="8">
        <v>11</v>
      </c>
      <c r="B15" s="25" t="s">
        <v>155</v>
      </c>
      <c r="C15" s="8">
        <v>8</v>
      </c>
      <c r="D15" s="9" t="s">
        <v>142</v>
      </c>
      <c r="E15" s="27">
        <f t="shared" si="3"/>
        <v>150000</v>
      </c>
      <c r="F15" s="27">
        <f t="shared" si="3"/>
        <v>310000</v>
      </c>
      <c r="G15" s="27">
        <f t="shared" si="3"/>
        <v>180000</v>
      </c>
      <c r="H15" s="27">
        <f t="shared" si="3"/>
        <v>180000</v>
      </c>
      <c r="I15" s="27">
        <f t="shared" si="3"/>
        <v>180000</v>
      </c>
      <c r="J15" s="27">
        <f t="shared" si="3"/>
        <v>180000</v>
      </c>
      <c r="K15" s="27">
        <f t="shared" si="3"/>
        <v>180000</v>
      </c>
      <c r="L15" s="27">
        <f t="shared" si="3"/>
        <v>180000</v>
      </c>
      <c r="M15" s="47">
        <f t="shared" si="0"/>
        <v>180000</v>
      </c>
      <c r="N15" s="47">
        <f t="shared" si="0"/>
        <v>180000</v>
      </c>
      <c r="O15" s="47">
        <f t="shared" si="0"/>
        <v>180000</v>
      </c>
      <c r="P15" s="47">
        <f>P95+P174+R15</f>
        <v>295000</v>
      </c>
      <c r="Q15" s="28">
        <f>SUM(E15:L15,M15,N15,O15,P15)</f>
        <v>2375000</v>
      </c>
      <c r="R15" s="42">
        <v>100000</v>
      </c>
      <c r="U15" s="8" t="s">
        <v>68</v>
      </c>
      <c r="V15" s="37">
        <v>68250</v>
      </c>
      <c r="W15" s="37">
        <v>85300</v>
      </c>
      <c r="X15" s="37">
        <v>102375</v>
      </c>
      <c r="Y15" s="37">
        <f t="shared" si="1"/>
        <v>17050</v>
      </c>
      <c r="Z15" s="37">
        <f t="shared" si="2"/>
        <v>34125</v>
      </c>
      <c r="AA15" s="38">
        <v>0.1</v>
      </c>
      <c r="AB15" s="37">
        <f t="shared" si="4"/>
        <v>4925</v>
      </c>
      <c r="AC15" s="37">
        <f t="shared" si="5"/>
        <v>6170</v>
      </c>
      <c r="AD15" s="37">
        <f t="shared" si="6"/>
        <v>7387.5</v>
      </c>
      <c r="AE15" s="8"/>
    </row>
    <row r="16" spans="1:31" x14ac:dyDescent="0.25">
      <c r="A16" s="8">
        <v>12</v>
      </c>
      <c r="B16" s="15" t="s">
        <v>67</v>
      </c>
      <c r="C16" s="8">
        <v>10</v>
      </c>
      <c r="D16" s="9" t="s">
        <v>46</v>
      </c>
      <c r="E16" s="27">
        <f t="shared" si="3"/>
        <v>94000</v>
      </c>
      <c r="F16" s="27">
        <f t="shared" si="3"/>
        <v>167000</v>
      </c>
      <c r="G16" s="27">
        <f t="shared" si="3"/>
        <v>100000</v>
      </c>
      <c r="H16" s="27">
        <f t="shared" si="3"/>
        <v>100000</v>
      </c>
      <c r="I16" s="27">
        <f t="shared" si="3"/>
        <v>100000</v>
      </c>
      <c r="J16" s="27">
        <f t="shared" si="3"/>
        <v>100000</v>
      </c>
      <c r="K16" s="27">
        <f t="shared" si="3"/>
        <v>100000</v>
      </c>
      <c r="L16" s="27">
        <f t="shared" si="3"/>
        <v>100000</v>
      </c>
      <c r="M16" s="47">
        <f t="shared" si="0"/>
        <v>100000</v>
      </c>
      <c r="N16" s="47">
        <f t="shared" si="0"/>
        <v>100000</v>
      </c>
      <c r="O16" s="47">
        <f t="shared" si="0"/>
        <v>100000</v>
      </c>
      <c r="P16" s="47">
        <f>P96+P175+R16</f>
        <v>156825</v>
      </c>
      <c r="Q16" s="28">
        <f>SUM(E16:L16,M16,N16,O16,P16)</f>
        <v>1317825</v>
      </c>
      <c r="R16" s="42">
        <v>50000</v>
      </c>
      <c r="U16" s="8" t="s">
        <v>60</v>
      </c>
      <c r="V16" s="37">
        <v>68250</v>
      </c>
      <c r="W16" s="37">
        <v>85300</v>
      </c>
      <c r="X16" s="37">
        <v>102375</v>
      </c>
      <c r="Y16" s="37">
        <f t="shared" si="1"/>
        <v>17050</v>
      </c>
      <c r="Z16" s="37">
        <f t="shared" si="2"/>
        <v>34125</v>
      </c>
      <c r="AA16" s="38">
        <v>0.1</v>
      </c>
      <c r="AB16" s="37">
        <f t="shared" si="4"/>
        <v>4925</v>
      </c>
      <c r="AC16" s="37">
        <f t="shared" si="5"/>
        <v>6170</v>
      </c>
      <c r="AD16" s="37">
        <f t="shared" si="6"/>
        <v>7387.5</v>
      </c>
      <c r="AE16" s="8"/>
    </row>
    <row r="17" spans="1:31" x14ac:dyDescent="0.25">
      <c r="A17" s="8">
        <v>13</v>
      </c>
      <c r="B17" s="16" t="s">
        <v>146</v>
      </c>
      <c r="C17" s="8">
        <v>10</v>
      </c>
      <c r="D17" s="11" t="s">
        <v>47</v>
      </c>
      <c r="E17" s="27">
        <f t="shared" si="3"/>
        <v>113000</v>
      </c>
      <c r="F17" s="27">
        <f t="shared" si="3"/>
        <v>185000</v>
      </c>
      <c r="G17" s="27">
        <f t="shared" si="3"/>
        <v>100000</v>
      </c>
      <c r="H17" s="27">
        <f t="shared" si="3"/>
        <v>100000</v>
      </c>
      <c r="I17" s="27">
        <f t="shared" si="3"/>
        <v>100000</v>
      </c>
      <c r="J17" s="27">
        <f t="shared" si="3"/>
        <v>100000</v>
      </c>
      <c r="K17" s="27">
        <f t="shared" si="3"/>
        <v>100000</v>
      </c>
      <c r="L17" s="27">
        <f t="shared" si="3"/>
        <v>100000</v>
      </c>
      <c r="M17" s="47">
        <f t="shared" si="0"/>
        <v>100000</v>
      </c>
      <c r="N17" s="47">
        <f t="shared" si="0"/>
        <v>100000</v>
      </c>
      <c r="O17" s="47">
        <f t="shared" si="0"/>
        <v>100000</v>
      </c>
      <c r="P17" s="47">
        <f>P97+P176+R17</f>
        <v>156825</v>
      </c>
      <c r="Q17" s="28">
        <f>SUM(E17:L17,M17,N17,O17,P17)</f>
        <v>1354825</v>
      </c>
      <c r="R17" s="42">
        <v>50000</v>
      </c>
      <c r="U17" s="8" t="s">
        <v>141</v>
      </c>
      <c r="V17" s="37">
        <v>65000</v>
      </c>
      <c r="W17" s="37">
        <v>81250</v>
      </c>
      <c r="X17" s="37">
        <v>97500</v>
      </c>
      <c r="Y17" s="37">
        <f t="shared" si="1"/>
        <v>16250</v>
      </c>
      <c r="Z17" s="37">
        <f t="shared" si="2"/>
        <v>32500</v>
      </c>
      <c r="AA17" s="38"/>
      <c r="AB17" s="37"/>
      <c r="AC17" s="37"/>
      <c r="AD17" s="37"/>
      <c r="AE17" s="8"/>
    </row>
    <row r="18" spans="1:31" x14ac:dyDescent="0.25">
      <c r="A18" s="8">
        <v>14</v>
      </c>
      <c r="B18" s="14" t="s">
        <v>65</v>
      </c>
      <c r="C18" s="8">
        <v>10</v>
      </c>
      <c r="D18" s="11" t="s">
        <v>48</v>
      </c>
      <c r="E18" s="27">
        <f t="shared" si="3"/>
        <v>120000</v>
      </c>
      <c r="F18" s="27">
        <f t="shared" si="3"/>
        <v>192000</v>
      </c>
      <c r="G18" s="27">
        <f t="shared" si="3"/>
        <v>127000</v>
      </c>
      <c r="H18" s="27">
        <f t="shared" si="3"/>
        <v>127000</v>
      </c>
      <c r="I18" s="27">
        <f t="shared" si="3"/>
        <v>127000</v>
      </c>
      <c r="J18" s="27">
        <f t="shared" si="3"/>
        <v>127000</v>
      </c>
      <c r="K18" s="27">
        <f t="shared" si="3"/>
        <v>127000</v>
      </c>
      <c r="L18" s="27">
        <f t="shared" si="3"/>
        <v>127000</v>
      </c>
      <c r="M18" s="47">
        <f t="shared" si="0"/>
        <v>127000</v>
      </c>
      <c r="N18" s="47">
        <f t="shared" si="0"/>
        <v>127000</v>
      </c>
      <c r="O18" s="47">
        <f t="shared" si="0"/>
        <v>127000</v>
      </c>
      <c r="P18" s="47">
        <f>P98+P177+R18</f>
        <v>183825</v>
      </c>
      <c r="Q18" s="28">
        <f>SUM(E18:L18,M18,N18,O18,P18)</f>
        <v>1638825</v>
      </c>
      <c r="R18" s="42">
        <v>50000</v>
      </c>
      <c r="U18" s="8" t="s">
        <v>139</v>
      </c>
      <c r="V18" s="37">
        <v>68250</v>
      </c>
      <c r="W18" s="37">
        <v>85300</v>
      </c>
      <c r="X18" s="37">
        <v>102375</v>
      </c>
      <c r="Y18" s="37">
        <f t="shared" si="1"/>
        <v>17050</v>
      </c>
      <c r="Z18" s="37">
        <f t="shared" si="2"/>
        <v>34125</v>
      </c>
      <c r="AA18" s="38">
        <v>0.1</v>
      </c>
      <c r="AB18" s="37">
        <f t="shared" ref="AB18:AB19" si="7">80000-V18-V18*AA18</f>
        <v>4925</v>
      </c>
      <c r="AC18" s="37">
        <f t="shared" ref="AC18:AC19" si="8">100000-W18-W18*AA18</f>
        <v>6170</v>
      </c>
      <c r="AD18" s="37">
        <f t="shared" ref="AD18:AD19" si="9">120000-X18-X18*AA18</f>
        <v>7387.5</v>
      </c>
      <c r="AE18" s="8"/>
    </row>
    <row r="19" spans="1:31" x14ac:dyDescent="0.25">
      <c r="A19" s="8">
        <v>15</v>
      </c>
      <c r="B19" s="15" t="s">
        <v>60</v>
      </c>
      <c r="C19" s="30">
        <v>10</v>
      </c>
      <c r="D19" s="12" t="s">
        <v>22</v>
      </c>
      <c r="E19" s="27">
        <f t="shared" si="3"/>
        <v>94000</v>
      </c>
      <c r="F19" s="27">
        <f t="shared" si="3"/>
        <v>167000</v>
      </c>
      <c r="G19" s="27">
        <f t="shared" si="3"/>
        <v>100000</v>
      </c>
      <c r="H19" s="27">
        <f t="shared" si="3"/>
        <v>100000</v>
      </c>
      <c r="I19" s="27">
        <f t="shared" si="3"/>
        <v>100000</v>
      </c>
      <c r="J19" s="27">
        <f t="shared" si="3"/>
        <v>100000</v>
      </c>
      <c r="K19" s="27">
        <f t="shared" si="3"/>
        <v>100000</v>
      </c>
      <c r="L19" s="27">
        <f t="shared" si="3"/>
        <v>100000</v>
      </c>
      <c r="M19" s="47">
        <f t="shared" si="0"/>
        <v>100000</v>
      </c>
      <c r="N19" s="47">
        <f t="shared" si="0"/>
        <v>100000</v>
      </c>
      <c r="O19" s="47">
        <f t="shared" si="0"/>
        <v>100000</v>
      </c>
      <c r="P19" s="47">
        <f>P99+P178+R19</f>
        <v>156825</v>
      </c>
      <c r="Q19" s="28">
        <f>SUM(E19:L19,M19,N19,O19,P19)</f>
        <v>1317825</v>
      </c>
      <c r="R19" s="42">
        <v>50000</v>
      </c>
      <c r="U19" s="8" t="s">
        <v>140</v>
      </c>
      <c r="V19" s="37">
        <v>68250</v>
      </c>
      <c r="W19" s="37">
        <v>85300</v>
      </c>
      <c r="X19" s="37">
        <v>102375</v>
      </c>
      <c r="Y19" s="37">
        <f t="shared" si="1"/>
        <v>17050</v>
      </c>
      <c r="Z19" s="37">
        <f t="shared" si="2"/>
        <v>34125</v>
      </c>
      <c r="AA19" s="38">
        <v>0.1</v>
      </c>
      <c r="AB19" s="37">
        <f t="shared" si="7"/>
        <v>4925</v>
      </c>
      <c r="AC19" s="37">
        <f t="shared" si="8"/>
        <v>6170</v>
      </c>
      <c r="AD19" s="37">
        <f t="shared" si="9"/>
        <v>7387.5</v>
      </c>
      <c r="AE19" s="8"/>
    </row>
    <row r="20" spans="1:31" x14ac:dyDescent="0.25">
      <c r="A20" s="8">
        <v>16</v>
      </c>
      <c r="B20" s="16" t="s">
        <v>146</v>
      </c>
      <c r="C20" s="30">
        <v>10</v>
      </c>
      <c r="D20" s="12" t="s">
        <v>49</v>
      </c>
      <c r="E20" s="27">
        <f t="shared" si="3"/>
        <v>94000</v>
      </c>
      <c r="F20" s="27">
        <f t="shared" si="3"/>
        <v>167000</v>
      </c>
      <c r="G20" s="27">
        <f t="shared" si="3"/>
        <v>100000</v>
      </c>
      <c r="H20" s="27">
        <f t="shared" si="3"/>
        <v>100000</v>
      </c>
      <c r="I20" s="27">
        <f t="shared" si="3"/>
        <v>100000</v>
      </c>
      <c r="J20" s="27">
        <f t="shared" si="3"/>
        <v>100000</v>
      </c>
      <c r="K20" s="27">
        <f t="shared" si="3"/>
        <v>100000</v>
      </c>
      <c r="L20" s="27">
        <f t="shared" si="3"/>
        <v>100000</v>
      </c>
      <c r="M20" s="47">
        <f t="shared" si="0"/>
        <v>100000</v>
      </c>
      <c r="N20" s="47">
        <f t="shared" si="0"/>
        <v>100000</v>
      </c>
      <c r="O20" s="47">
        <f t="shared" si="0"/>
        <v>100000</v>
      </c>
      <c r="P20" s="47">
        <f>P100+P179+R20</f>
        <v>156825</v>
      </c>
      <c r="Q20" s="28">
        <f>SUM(E20:L20,M20,N20,O20,P20)</f>
        <v>1317825</v>
      </c>
      <c r="R20" s="42">
        <v>50000</v>
      </c>
      <c r="U20" s="8" t="s">
        <v>147</v>
      </c>
      <c r="V20" s="37">
        <v>70000</v>
      </c>
      <c r="W20" s="37"/>
      <c r="X20" s="37"/>
      <c r="Y20" s="37"/>
      <c r="Z20" s="37"/>
      <c r="AA20" s="38"/>
      <c r="AB20" s="37"/>
      <c r="AC20" s="37"/>
      <c r="AD20" s="37"/>
      <c r="AE20" s="8"/>
    </row>
    <row r="21" spans="1:31" x14ac:dyDescent="0.25">
      <c r="A21" s="8">
        <v>17</v>
      </c>
      <c r="B21" s="16" t="s">
        <v>146</v>
      </c>
      <c r="C21" s="8">
        <v>10</v>
      </c>
      <c r="D21" s="9" t="s">
        <v>23</v>
      </c>
      <c r="E21" s="27">
        <f t="shared" si="3"/>
        <v>94000</v>
      </c>
      <c r="F21" s="27">
        <f t="shared" si="3"/>
        <v>167000</v>
      </c>
      <c r="G21" s="27">
        <f t="shared" si="3"/>
        <v>100000</v>
      </c>
      <c r="H21" s="27">
        <f t="shared" si="3"/>
        <v>100000</v>
      </c>
      <c r="I21" s="27">
        <f t="shared" si="3"/>
        <v>100000</v>
      </c>
      <c r="J21" s="27">
        <f t="shared" si="3"/>
        <v>100000</v>
      </c>
      <c r="K21" s="27">
        <f t="shared" si="3"/>
        <v>100000</v>
      </c>
      <c r="L21" s="27">
        <f t="shared" si="3"/>
        <v>100000</v>
      </c>
      <c r="M21" s="47">
        <f t="shared" si="3"/>
        <v>100000</v>
      </c>
      <c r="N21" s="47">
        <f t="shared" si="3"/>
        <v>100000</v>
      </c>
      <c r="O21" s="47">
        <f t="shared" si="3"/>
        <v>100000</v>
      </c>
      <c r="P21" s="47">
        <f>P101+P180+R21</f>
        <v>156825</v>
      </c>
      <c r="Q21" s="28">
        <f>SUM(E21:L21,M21,N21,O21,P21)</f>
        <v>1317825</v>
      </c>
      <c r="R21" s="42">
        <v>50000</v>
      </c>
      <c r="U21" s="8" t="s">
        <v>148</v>
      </c>
      <c r="V21" s="37">
        <v>100000</v>
      </c>
      <c r="W21" s="37"/>
      <c r="X21" s="37"/>
      <c r="Y21" s="37"/>
      <c r="Z21" s="37"/>
      <c r="AA21" s="38"/>
      <c r="AB21" s="37"/>
      <c r="AC21" s="37"/>
      <c r="AD21" s="37"/>
      <c r="AE21" s="8"/>
    </row>
    <row r="22" spans="1:31" x14ac:dyDescent="0.25">
      <c r="A22" s="8">
        <v>18</v>
      </c>
      <c r="B22" s="16" t="s">
        <v>146</v>
      </c>
      <c r="C22" s="8">
        <v>10</v>
      </c>
      <c r="D22" s="9" t="s">
        <v>24</v>
      </c>
      <c r="E22" s="27">
        <f t="shared" ref="E22:O37" si="10">E102+E181</f>
        <v>94000</v>
      </c>
      <c r="F22" s="27">
        <f t="shared" si="10"/>
        <v>167000</v>
      </c>
      <c r="G22" s="27">
        <f t="shared" si="10"/>
        <v>100000</v>
      </c>
      <c r="H22" s="27">
        <f t="shared" si="10"/>
        <v>100000</v>
      </c>
      <c r="I22" s="27">
        <f t="shared" si="10"/>
        <v>100000</v>
      </c>
      <c r="J22" s="27">
        <f t="shared" si="10"/>
        <v>100000</v>
      </c>
      <c r="K22" s="27">
        <f t="shared" si="10"/>
        <v>100000</v>
      </c>
      <c r="L22" s="27">
        <f t="shared" si="10"/>
        <v>100000</v>
      </c>
      <c r="M22" s="47">
        <f t="shared" si="10"/>
        <v>100000</v>
      </c>
      <c r="N22" s="47">
        <f t="shared" si="10"/>
        <v>100000</v>
      </c>
      <c r="O22" s="47">
        <f t="shared" si="10"/>
        <v>100000</v>
      </c>
      <c r="P22" s="47">
        <f>P102+P181+R22</f>
        <v>156825</v>
      </c>
      <c r="Q22" s="28">
        <f>SUM(E22:L22,M22,N22,O22,P22)</f>
        <v>1317825</v>
      </c>
      <c r="R22" s="42">
        <v>50000</v>
      </c>
      <c r="U22" s="8" t="s">
        <v>155</v>
      </c>
      <c r="V22" s="37">
        <v>150000</v>
      </c>
      <c r="W22" s="37"/>
      <c r="X22" s="37"/>
      <c r="Y22" s="37"/>
      <c r="Z22" s="37"/>
      <c r="AA22" s="38"/>
      <c r="AB22" s="37">
        <v>30000</v>
      </c>
      <c r="AC22" s="37"/>
      <c r="AD22" s="37"/>
      <c r="AE22" s="8"/>
    </row>
    <row r="23" spans="1:31" x14ac:dyDescent="0.25">
      <c r="A23" s="8">
        <v>19</v>
      </c>
      <c r="B23" s="15" t="s">
        <v>60</v>
      </c>
      <c r="C23" s="8">
        <v>8</v>
      </c>
      <c r="D23" s="11" t="s">
        <v>50</v>
      </c>
      <c r="E23" s="27">
        <f t="shared" si="10"/>
        <v>76000</v>
      </c>
      <c r="F23" s="27">
        <f t="shared" si="10"/>
        <v>148000</v>
      </c>
      <c r="G23" s="27">
        <f t="shared" si="10"/>
        <v>80000</v>
      </c>
      <c r="H23" s="27">
        <f t="shared" si="10"/>
        <v>80000</v>
      </c>
      <c r="I23" s="27">
        <f t="shared" si="10"/>
        <v>80000</v>
      </c>
      <c r="J23" s="27">
        <f t="shared" si="10"/>
        <v>80000</v>
      </c>
      <c r="K23" s="27">
        <f t="shared" si="10"/>
        <v>80000</v>
      </c>
      <c r="L23" s="27">
        <f t="shared" si="10"/>
        <v>80000</v>
      </c>
      <c r="M23" s="47">
        <f t="shared" si="10"/>
        <v>80000</v>
      </c>
      <c r="N23" s="47">
        <f t="shared" si="10"/>
        <v>80000</v>
      </c>
      <c r="O23" s="47">
        <f t="shared" si="10"/>
        <v>80000</v>
      </c>
      <c r="P23" s="47">
        <f>P103+P182+R23</f>
        <v>136825</v>
      </c>
      <c r="Q23" s="28">
        <f>SUM(E23:L23,M23,N23,O23,P23)</f>
        <v>1080825</v>
      </c>
      <c r="R23" s="42">
        <v>50000</v>
      </c>
      <c r="U23" s="8" t="s">
        <v>151</v>
      </c>
      <c r="V23" s="37">
        <v>150000</v>
      </c>
      <c r="W23" s="37"/>
      <c r="X23" s="37"/>
      <c r="Y23" s="37"/>
      <c r="Z23" s="37"/>
      <c r="AA23" s="38"/>
      <c r="AB23" s="37">
        <v>50000</v>
      </c>
      <c r="AC23" s="37"/>
      <c r="AD23" s="37"/>
      <c r="AE23" s="8"/>
    </row>
    <row r="24" spans="1:31" x14ac:dyDescent="0.25">
      <c r="A24" s="8">
        <v>20</v>
      </c>
      <c r="B24" s="8" t="s">
        <v>138</v>
      </c>
      <c r="C24" s="8">
        <v>8</v>
      </c>
      <c r="D24" s="9" t="s">
        <v>25</v>
      </c>
      <c r="E24" s="27">
        <f t="shared" si="10"/>
        <v>72000</v>
      </c>
      <c r="F24" s="27">
        <f t="shared" si="10"/>
        <v>132000</v>
      </c>
      <c r="G24" s="27">
        <f t="shared" si="10"/>
        <v>70000</v>
      </c>
      <c r="H24" s="27">
        <f t="shared" si="10"/>
        <v>70000</v>
      </c>
      <c r="I24" s="27">
        <f t="shared" si="10"/>
        <v>70000</v>
      </c>
      <c r="J24" s="27">
        <f t="shared" si="10"/>
        <v>70000</v>
      </c>
      <c r="K24" s="27">
        <f t="shared" si="10"/>
        <v>70000</v>
      </c>
      <c r="L24" s="27">
        <f t="shared" si="10"/>
        <v>70000</v>
      </c>
      <c r="M24" s="47">
        <f t="shared" si="10"/>
        <v>70000</v>
      </c>
      <c r="N24" s="47">
        <f t="shared" si="10"/>
        <v>70000</v>
      </c>
      <c r="O24" s="47">
        <f t="shared" si="10"/>
        <v>70000</v>
      </c>
      <c r="P24" s="47">
        <f>P104+P183+R24</f>
        <v>127000</v>
      </c>
      <c r="Q24" s="28">
        <f>SUM(E24:L24,M24,N24,O24,P24)</f>
        <v>961000</v>
      </c>
      <c r="R24" s="42">
        <v>50000</v>
      </c>
      <c r="U24" s="8" t="s">
        <v>152</v>
      </c>
      <c r="V24" s="37">
        <v>150000</v>
      </c>
      <c r="W24" s="37"/>
      <c r="X24" s="37"/>
      <c r="Y24" s="37"/>
      <c r="Z24" s="37"/>
      <c r="AA24" s="38"/>
      <c r="AB24" s="37">
        <v>30000</v>
      </c>
      <c r="AC24" s="37"/>
      <c r="AD24" s="37"/>
      <c r="AE24" s="8"/>
    </row>
    <row r="25" spans="1:31" x14ac:dyDescent="0.25">
      <c r="A25" s="8">
        <v>21</v>
      </c>
      <c r="B25" s="16" t="s">
        <v>146</v>
      </c>
      <c r="C25" s="8">
        <v>10</v>
      </c>
      <c r="D25" s="11" t="s">
        <v>51</v>
      </c>
      <c r="E25" s="27">
        <f t="shared" si="10"/>
        <v>94000</v>
      </c>
      <c r="F25" s="27">
        <f t="shared" si="10"/>
        <v>167000</v>
      </c>
      <c r="G25" s="27">
        <f t="shared" si="10"/>
        <v>100000</v>
      </c>
      <c r="H25" s="27">
        <f t="shared" si="10"/>
        <v>100000</v>
      </c>
      <c r="I25" s="27">
        <f t="shared" si="10"/>
        <v>100000</v>
      </c>
      <c r="J25" s="27">
        <f t="shared" si="10"/>
        <v>100000</v>
      </c>
      <c r="K25" s="27">
        <f t="shared" si="10"/>
        <v>100000</v>
      </c>
      <c r="L25" s="27">
        <f t="shared" si="10"/>
        <v>100000</v>
      </c>
      <c r="M25" s="47">
        <f t="shared" si="10"/>
        <v>100000</v>
      </c>
      <c r="N25" s="47">
        <f t="shared" si="10"/>
        <v>100000</v>
      </c>
      <c r="O25" s="47">
        <f t="shared" si="10"/>
        <v>100000</v>
      </c>
      <c r="P25" s="47">
        <f>P105+P184+R25</f>
        <v>156825</v>
      </c>
      <c r="Q25" s="28">
        <f>SUM(E25:L25,M25,N25,O25,P25)</f>
        <v>1317825</v>
      </c>
      <c r="R25" s="42">
        <v>50000</v>
      </c>
      <c r="U25" s="8" t="s">
        <v>168</v>
      </c>
      <c r="V25" s="37">
        <v>75000</v>
      </c>
      <c r="W25" s="8"/>
      <c r="X25" s="8"/>
      <c r="Y25" s="8"/>
      <c r="Z25" s="8"/>
      <c r="AA25" s="38">
        <v>0.1</v>
      </c>
      <c r="AB25" s="8"/>
      <c r="AC25" s="8"/>
      <c r="AD25" s="8"/>
      <c r="AE25" s="8"/>
    </row>
    <row r="26" spans="1:31" x14ac:dyDescent="0.25">
      <c r="A26" s="8">
        <v>22</v>
      </c>
      <c r="B26" s="25" t="s">
        <v>154</v>
      </c>
      <c r="C26" s="8">
        <v>8</v>
      </c>
      <c r="D26" s="11" t="s">
        <v>143</v>
      </c>
      <c r="E26" s="27">
        <f t="shared" si="10"/>
        <v>150000</v>
      </c>
      <c r="F26" s="27">
        <f t="shared" si="10"/>
        <v>310000</v>
      </c>
      <c r="G26" s="27">
        <f t="shared" si="10"/>
        <v>200000</v>
      </c>
      <c r="H26" s="27">
        <f t="shared" si="10"/>
        <v>200000</v>
      </c>
      <c r="I26" s="27">
        <f t="shared" si="10"/>
        <v>200000</v>
      </c>
      <c r="J26" s="27">
        <f t="shared" si="10"/>
        <v>200000</v>
      </c>
      <c r="K26" s="27">
        <f t="shared" si="10"/>
        <v>200000</v>
      </c>
      <c r="L26" s="27">
        <f t="shared" si="10"/>
        <v>200000</v>
      </c>
      <c r="M26" s="47">
        <f t="shared" si="10"/>
        <v>200000</v>
      </c>
      <c r="N26" s="47">
        <f t="shared" si="10"/>
        <v>200000</v>
      </c>
      <c r="O26" s="47">
        <f t="shared" si="10"/>
        <v>200000</v>
      </c>
      <c r="P26" s="47">
        <f>P106+P185+R26</f>
        <v>315000</v>
      </c>
      <c r="Q26" s="28">
        <f>SUM(E26:L26,M26,N26,O26,P26)</f>
        <v>2575000</v>
      </c>
      <c r="R26" s="42">
        <v>100000</v>
      </c>
      <c r="U26" s="8" t="s">
        <v>169</v>
      </c>
      <c r="V26" s="37">
        <v>90000</v>
      </c>
      <c r="W26" s="8"/>
      <c r="X26" s="8"/>
      <c r="Y26" s="8"/>
      <c r="Z26" s="8"/>
      <c r="AA26" s="38">
        <v>0.1</v>
      </c>
      <c r="AB26" s="8"/>
      <c r="AC26" s="8"/>
      <c r="AD26" s="8"/>
      <c r="AE26" s="8"/>
    </row>
    <row r="27" spans="1:31" x14ac:dyDescent="0.25">
      <c r="A27" s="8">
        <v>23</v>
      </c>
      <c r="B27" s="16" t="s">
        <v>146</v>
      </c>
      <c r="C27" s="8">
        <v>10</v>
      </c>
      <c r="D27" s="9" t="s">
        <v>27</v>
      </c>
      <c r="E27" s="27">
        <f t="shared" si="10"/>
        <v>94000</v>
      </c>
      <c r="F27" s="27">
        <f t="shared" si="10"/>
        <v>167000</v>
      </c>
      <c r="G27" s="27">
        <f t="shared" si="10"/>
        <v>100000</v>
      </c>
      <c r="H27" s="27">
        <f t="shared" si="10"/>
        <v>100000</v>
      </c>
      <c r="I27" s="27">
        <f t="shared" si="10"/>
        <v>100000</v>
      </c>
      <c r="J27" s="27">
        <f t="shared" si="10"/>
        <v>100000</v>
      </c>
      <c r="K27" s="27">
        <f t="shared" si="10"/>
        <v>100000</v>
      </c>
      <c r="L27" s="27">
        <f t="shared" si="10"/>
        <v>100000</v>
      </c>
      <c r="M27" s="47">
        <f t="shared" si="10"/>
        <v>100000</v>
      </c>
      <c r="N27" s="47">
        <f t="shared" si="10"/>
        <v>100000</v>
      </c>
      <c r="O27" s="47">
        <f t="shared" si="10"/>
        <v>100000</v>
      </c>
      <c r="P27" s="47">
        <f>P107+P186+R27</f>
        <v>156825</v>
      </c>
      <c r="Q27" s="28">
        <f>SUM(E27:L27,M27,N27,O27,P27)</f>
        <v>1317825</v>
      </c>
      <c r="R27" s="42">
        <v>50000</v>
      </c>
    </row>
    <row r="28" spans="1:31" x14ac:dyDescent="0.25">
      <c r="A28" s="8">
        <v>24</v>
      </c>
      <c r="B28" s="16" t="s">
        <v>146</v>
      </c>
      <c r="C28" s="8">
        <v>10</v>
      </c>
      <c r="D28" s="9" t="s">
        <v>28</v>
      </c>
      <c r="E28" s="27">
        <f t="shared" si="10"/>
        <v>94000</v>
      </c>
      <c r="F28" s="27">
        <f t="shared" si="10"/>
        <v>167000</v>
      </c>
      <c r="G28" s="27">
        <f t="shared" si="10"/>
        <v>100000</v>
      </c>
      <c r="H28" s="27">
        <f t="shared" si="10"/>
        <v>100000</v>
      </c>
      <c r="I28" s="27">
        <f t="shared" si="10"/>
        <v>100000</v>
      </c>
      <c r="J28" s="27">
        <f t="shared" si="10"/>
        <v>100000</v>
      </c>
      <c r="K28" s="27">
        <f t="shared" si="10"/>
        <v>100000</v>
      </c>
      <c r="L28" s="27">
        <f t="shared" si="10"/>
        <v>100000</v>
      </c>
      <c r="M28" s="47">
        <f t="shared" si="10"/>
        <v>100000</v>
      </c>
      <c r="N28" s="47">
        <f t="shared" si="10"/>
        <v>100000</v>
      </c>
      <c r="O28" s="47">
        <f t="shared" si="10"/>
        <v>100000</v>
      </c>
      <c r="P28" s="47">
        <f>P108+P187+R28</f>
        <v>156825</v>
      </c>
      <c r="Q28" s="28">
        <f>SUM(E28:L28,M28,N28,O28,P28)</f>
        <v>1317825</v>
      </c>
      <c r="R28" s="42">
        <v>50000</v>
      </c>
    </row>
    <row r="29" spans="1:31" x14ac:dyDescent="0.25">
      <c r="A29" s="8">
        <v>25</v>
      </c>
      <c r="B29" s="16" t="s">
        <v>146</v>
      </c>
      <c r="C29" s="8">
        <v>12</v>
      </c>
      <c r="D29" s="9" t="s">
        <v>29</v>
      </c>
      <c r="E29" s="27">
        <f t="shared" si="10"/>
        <v>113000</v>
      </c>
      <c r="F29" s="27">
        <f t="shared" si="10"/>
        <v>185000</v>
      </c>
      <c r="G29" s="27">
        <f t="shared" si="10"/>
        <v>120000</v>
      </c>
      <c r="H29" s="27">
        <f t="shared" si="10"/>
        <v>120000</v>
      </c>
      <c r="I29" s="27">
        <f t="shared" si="10"/>
        <v>120000</v>
      </c>
      <c r="J29" s="27">
        <f t="shared" si="10"/>
        <v>120000</v>
      </c>
      <c r="K29" s="27">
        <f t="shared" si="10"/>
        <v>120000</v>
      </c>
      <c r="L29" s="27">
        <f t="shared" si="10"/>
        <v>120000</v>
      </c>
      <c r="M29" s="47">
        <f t="shared" si="10"/>
        <v>120000</v>
      </c>
      <c r="N29" s="47">
        <f t="shared" si="10"/>
        <v>120000</v>
      </c>
      <c r="O29" s="47">
        <f t="shared" si="10"/>
        <v>120000</v>
      </c>
      <c r="P29" s="47">
        <f>P109+P188+R29</f>
        <v>176825</v>
      </c>
      <c r="Q29" s="28">
        <f>SUM(E29:L29,M29,N29,O29,P29)</f>
        <v>1554825</v>
      </c>
      <c r="R29" s="42">
        <v>50000</v>
      </c>
    </row>
    <row r="30" spans="1:31" x14ac:dyDescent="0.25">
      <c r="A30" s="8">
        <v>26</v>
      </c>
      <c r="B30" s="14" t="s">
        <v>66</v>
      </c>
      <c r="C30" s="8">
        <v>12</v>
      </c>
      <c r="D30" s="11" t="s">
        <v>30</v>
      </c>
      <c r="E30" s="27">
        <f t="shared" si="10"/>
        <v>120000</v>
      </c>
      <c r="F30" s="27">
        <f t="shared" si="10"/>
        <v>192000</v>
      </c>
      <c r="G30" s="27">
        <f t="shared" si="10"/>
        <v>127000</v>
      </c>
      <c r="H30" s="27">
        <f t="shared" si="10"/>
        <v>127000</v>
      </c>
      <c r="I30" s="27">
        <f t="shared" si="10"/>
        <v>127000</v>
      </c>
      <c r="J30" s="27">
        <f t="shared" si="10"/>
        <v>127000</v>
      </c>
      <c r="K30" s="27">
        <f t="shared" si="10"/>
        <v>127000</v>
      </c>
      <c r="L30" s="27">
        <f t="shared" si="10"/>
        <v>127000</v>
      </c>
      <c r="M30" s="47">
        <f t="shared" si="10"/>
        <v>127000</v>
      </c>
      <c r="N30" s="47">
        <f t="shared" si="10"/>
        <v>127000</v>
      </c>
      <c r="O30" s="47">
        <f t="shared" si="10"/>
        <v>127000</v>
      </c>
      <c r="P30" s="47">
        <f>P110+P189+R30</f>
        <v>183825</v>
      </c>
      <c r="Q30" s="28">
        <f>SUM(E30:L30,M30,N30,O30,P30)</f>
        <v>1638825</v>
      </c>
      <c r="R30" s="42">
        <v>50000</v>
      </c>
      <c r="T30" s="45" t="s">
        <v>16</v>
      </c>
      <c r="U30" s="45" t="s">
        <v>181</v>
      </c>
      <c r="V30" s="29" t="s">
        <v>160</v>
      </c>
      <c r="W30" s="29" t="s">
        <v>150</v>
      </c>
      <c r="X30" s="29" t="s">
        <v>179</v>
      </c>
      <c r="Y30" s="29" t="s">
        <v>178</v>
      </c>
      <c r="Z30" s="29" t="s">
        <v>180</v>
      </c>
    </row>
    <row r="31" spans="1:31" x14ac:dyDescent="0.25">
      <c r="A31" s="8">
        <v>27</v>
      </c>
      <c r="B31" s="16" t="s">
        <v>146</v>
      </c>
      <c r="C31" s="8">
        <v>10</v>
      </c>
      <c r="D31" s="9" t="s">
        <v>31</v>
      </c>
      <c r="E31" s="27">
        <f t="shared" si="10"/>
        <v>94000</v>
      </c>
      <c r="F31" s="27">
        <f t="shared" si="10"/>
        <v>167000</v>
      </c>
      <c r="G31" s="27">
        <f t="shared" si="10"/>
        <v>100000</v>
      </c>
      <c r="H31" s="27">
        <f t="shared" si="10"/>
        <v>100000</v>
      </c>
      <c r="I31" s="27">
        <f t="shared" si="10"/>
        <v>100000</v>
      </c>
      <c r="J31" s="27">
        <f t="shared" si="10"/>
        <v>100000</v>
      </c>
      <c r="K31" s="27">
        <f t="shared" si="10"/>
        <v>100000</v>
      </c>
      <c r="L31" s="27">
        <f t="shared" si="10"/>
        <v>100000</v>
      </c>
      <c r="M31" s="47">
        <f t="shared" si="10"/>
        <v>100000</v>
      </c>
      <c r="N31" s="47">
        <f t="shared" si="10"/>
        <v>100000</v>
      </c>
      <c r="O31" s="47">
        <f t="shared" si="10"/>
        <v>100000</v>
      </c>
      <c r="P31" s="47">
        <f>P111+P190+R31</f>
        <v>156825</v>
      </c>
      <c r="Q31" s="28">
        <f>SUM(E31:L31,M31,N31,O31,P31)</f>
        <v>1317825</v>
      </c>
      <c r="R31" s="42">
        <v>50000</v>
      </c>
      <c r="T31" s="8" t="s">
        <v>138</v>
      </c>
      <c r="U31" s="8" t="s">
        <v>182</v>
      </c>
      <c r="V31" s="37">
        <v>70000</v>
      </c>
      <c r="W31" s="38"/>
      <c r="X31" s="44">
        <v>87500</v>
      </c>
      <c r="Y31" s="44">
        <v>105000</v>
      </c>
      <c r="Z31" s="8"/>
    </row>
    <row r="32" spans="1:31" x14ac:dyDescent="0.25">
      <c r="A32" s="8">
        <v>28</v>
      </c>
      <c r="B32" s="14" t="s">
        <v>62</v>
      </c>
      <c r="C32" s="8">
        <v>10</v>
      </c>
      <c r="D32" s="11" t="s">
        <v>52</v>
      </c>
      <c r="E32" s="27">
        <f t="shared" si="10"/>
        <v>101000</v>
      </c>
      <c r="F32" s="27">
        <f t="shared" si="10"/>
        <v>174000</v>
      </c>
      <c r="G32" s="27">
        <f t="shared" si="10"/>
        <v>107000</v>
      </c>
      <c r="H32" s="27">
        <f t="shared" si="10"/>
        <v>107000</v>
      </c>
      <c r="I32" s="27">
        <f t="shared" si="10"/>
        <v>107000</v>
      </c>
      <c r="J32" s="27">
        <f t="shared" si="10"/>
        <v>107000</v>
      </c>
      <c r="K32" s="27">
        <f t="shared" si="10"/>
        <v>107000</v>
      </c>
      <c r="L32" s="27">
        <f t="shared" si="10"/>
        <v>107000</v>
      </c>
      <c r="M32" s="47">
        <f t="shared" si="10"/>
        <v>107000</v>
      </c>
      <c r="N32" s="47">
        <f t="shared" si="10"/>
        <v>107000</v>
      </c>
      <c r="O32" s="47">
        <f t="shared" si="10"/>
        <v>107000</v>
      </c>
      <c r="P32" s="47">
        <f>P112+P191+R32</f>
        <v>163825</v>
      </c>
      <c r="Q32" s="28">
        <f>SUM(E32:L32,M32,N32,O32,P32)</f>
        <v>1401825</v>
      </c>
      <c r="R32" s="42">
        <v>50000</v>
      </c>
      <c r="T32" s="8" t="s">
        <v>146</v>
      </c>
      <c r="U32" s="8" t="s">
        <v>171</v>
      </c>
      <c r="V32" s="37">
        <v>30000</v>
      </c>
      <c r="W32" s="40">
        <v>80000</v>
      </c>
      <c r="X32" s="44">
        <v>37500.000000000007</v>
      </c>
      <c r="Y32" s="44">
        <v>45000.000000000007</v>
      </c>
      <c r="Z32" s="8"/>
    </row>
    <row r="33" spans="1:26" x14ac:dyDescent="0.25">
      <c r="A33" s="8">
        <v>29</v>
      </c>
      <c r="B33" s="16" t="s">
        <v>145</v>
      </c>
      <c r="C33" s="8">
        <v>10</v>
      </c>
      <c r="D33" s="11" t="s">
        <v>53</v>
      </c>
      <c r="E33" s="27">
        <f t="shared" si="10"/>
        <v>94000</v>
      </c>
      <c r="F33" s="27">
        <f t="shared" si="10"/>
        <v>167000</v>
      </c>
      <c r="G33" s="27">
        <f t="shared" si="10"/>
        <v>100000</v>
      </c>
      <c r="H33" s="27">
        <f t="shared" si="10"/>
        <v>100000</v>
      </c>
      <c r="I33" s="27">
        <f t="shared" si="10"/>
        <v>100000</v>
      </c>
      <c r="J33" s="27">
        <f t="shared" si="10"/>
        <v>100000</v>
      </c>
      <c r="K33" s="27">
        <f t="shared" si="10"/>
        <v>100000</v>
      </c>
      <c r="L33" s="27">
        <f t="shared" si="10"/>
        <v>100000</v>
      </c>
      <c r="M33" s="47">
        <f t="shared" si="10"/>
        <v>100000</v>
      </c>
      <c r="N33" s="47">
        <f t="shared" si="10"/>
        <v>100000</v>
      </c>
      <c r="O33" s="47">
        <f t="shared" si="10"/>
        <v>100000</v>
      </c>
      <c r="P33" s="47">
        <f>P113+P192+R33</f>
        <v>156825</v>
      </c>
      <c r="Q33" s="28">
        <f>SUM(E33:L33,M33,N33,O33,P33)</f>
        <v>1317825</v>
      </c>
      <c r="R33" s="42">
        <v>50000</v>
      </c>
      <c r="T33" s="8" t="s">
        <v>145</v>
      </c>
      <c r="U33" s="8" t="s">
        <v>175</v>
      </c>
      <c r="V33" s="37">
        <v>75000</v>
      </c>
      <c r="W33" s="38">
        <v>0.1</v>
      </c>
      <c r="X33" s="44">
        <v>93750</v>
      </c>
      <c r="Y33" s="44">
        <v>112500</v>
      </c>
      <c r="Z33" s="8"/>
    </row>
    <row r="34" spans="1:26" x14ac:dyDescent="0.25">
      <c r="A34" s="8">
        <v>30</v>
      </c>
      <c r="B34" s="16" t="s">
        <v>146</v>
      </c>
      <c r="C34" s="8">
        <v>10</v>
      </c>
      <c r="D34" s="9" t="s">
        <v>32</v>
      </c>
      <c r="E34" s="27">
        <f t="shared" si="10"/>
        <v>94000</v>
      </c>
      <c r="F34" s="27">
        <f t="shared" si="10"/>
        <v>167000</v>
      </c>
      <c r="G34" s="27">
        <f t="shared" si="10"/>
        <v>100000</v>
      </c>
      <c r="H34" s="27">
        <f t="shared" si="10"/>
        <v>100000</v>
      </c>
      <c r="I34" s="27">
        <f t="shared" si="10"/>
        <v>100000</v>
      </c>
      <c r="J34" s="27">
        <f t="shared" si="10"/>
        <v>100000</v>
      </c>
      <c r="K34" s="27">
        <f t="shared" si="10"/>
        <v>100000</v>
      </c>
      <c r="L34" s="27">
        <f t="shared" si="10"/>
        <v>100000</v>
      </c>
      <c r="M34" s="47">
        <f t="shared" si="10"/>
        <v>100000</v>
      </c>
      <c r="N34" s="47">
        <f t="shared" si="10"/>
        <v>100000</v>
      </c>
      <c r="O34" s="47">
        <f t="shared" si="10"/>
        <v>100000</v>
      </c>
      <c r="P34" s="47">
        <f>P114+P193+R34</f>
        <v>156825</v>
      </c>
      <c r="Q34" s="28">
        <f>SUM(E34:L34,M34,N34,O34,P34)</f>
        <v>1317825</v>
      </c>
      <c r="R34" s="42">
        <v>50000</v>
      </c>
      <c r="T34" s="8" t="s">
        <v>65</v>
      </c>
      <c r="U34" s="8" t="s">
        <v>176</v>
      </c>
      <c r="V34" s="37">
        <v>80000</v>
      </c>
      <c r="W34" s="38">
        <v>0.1</v>
      </c>
      <c r="X34" s="44">
        <v>100000</v>
      </c>
      <c r="Y34" s="44">
        <v>120000</v>
      </c>
      <c r="Z34" s="8"/>
    </row>
    <row r="35" spans="1:26" x14ac:dyDescent="0.25">
      <c r="A35" s="8">
        <v>31</v>
      </c>
      <c r="B35" s="15" t="s">
        <v>61</v>
      </c>
      <c r="C35" s="8">
        <v>10</v>
      </c>
      <c r="D35" s="9" t="s">
        <v>33</v>
      </c>
      <c r="E35" s="27">
        <f t="shared" si="10"/>
        <v>94000</v>
      </c>
      <c r="F35" s="27">
        <f t="shared" si="10"/>
        <v>167000</v>
      </c>
      <c r="G35" s="27">
        <f t="shared" si="10"/>
        <v>100000</v>
      </c>
      <c r="H35" s="27">
        <f t="shared" si="10"/>
        <v>100000</v>
      </c>
      <c r="I35" s="27">
        <f t="shared" si="10"/>
        <v>100000</v>
      </c>
      <c r="J35" s="27">
        <f t="shared" si="10"/>
        <v>100000</v>
      </c>
      <c r="K35" s="27">
        <f t="shared" si="10"/>
        <v>100000</v>
      </c>
      <c r="L35" s="27">
        <f t="shared" si="10"/>
        <v>100000</v>
      </c>
      <c r="M35" s="47">
        <f t="shared" si="10"/>
        <v>100000</v>
      </c>
      <c r="N35" s="47">
        <f t="shared" si="10"/>
        <v>100000</v>
      </c>
      <c r="O35" s="47">
        <f t="shared" si="10"/>
        <v>100000</v>
      </c>
      <c r="P35" s="47">
        <f>P115+P194+R35</f>
        <v>156825</v>
      </c>
      <c r="Q35" s="28">
        <f>SUM(E35:L35,M35,N35,O35,P35)</f>
        <v>1317825</v>
      </c>
      <c r="R35" s="42">
        <v>50000</v>
      </c>
      <c r="T35" s="8" t="s">
        <v>63</v>
      </c>
      <c r="U35" s="8" t="s">
        <v>175</v>
      </c>
      <c r="V35" s="37">
        <v>80000</v>
      </c>
      <c r="W35" s="38">
        <v>0.1</v>
      </c>
      <c r="X35" s="44">
        <v>100000</v>
      </c>
      <c r="Y35" s="44">
        <v>120000</v>
      </c>
      <c r="Z35" s="8"/>
    </row>
    <row r="36" spans="1:26" x14ac:dyDescent="0.25">
      <c r="A36" s="8">
        <v>32</v>
      </c>
      <c r="B36" s="15" t="s">
        <v>61</v>
      </c>
      <c r="C36" s="8">
        <v>10</v>
      </c>
      <c r="D36" s="9" t="s">
        <v>34</v>
      </c>
      <c r="E36" s="27">
        <f t="shared" si="10"/>
        <v>94000</v>
      </c>
      <c r="F36" s="27">
        <f t="shared" si="10"/>
        <v>167000</v>
      </c>
      <c r="G36" s="27">
        <f t="shared" si="10"/>
        <v>100000</v>
      </c>
      <c r="H36" s="27">
        <f t="shared" si="10"/>
        <v>100000</v>
      </c>
      <c r="I36" s="27">
        <f t="shared" si="10"/>
        <v>100000</v>
      </c>
      <c r="J36" s="27">
        <f t="shared" si="10"/>
        <v>100000</v>
      </c>
      <c r="K36" s="27">
        <f t="shared" si="10"/>
        <v>100000</v>
      </c>
      <c r="L36" s="27">
        <f t="shared" si="10"/>
        <v>100000</v>
      </c>
      <c r="M36" s="47">
        <f t="shared" si="10"/>
        <v>100000</v>
      </c>
      <c r="N36" s="47">
        <f t="shared" si="10"/>
        <v>100000</v>
      </c>
      <c r="O36" s="47">
        <f t="shared" si="10"/>
        <v>100000</v>
      </c>
      <c r="P36" s="47">
        <f>P116+P195+R36</f>
        <v>156825</v>
      </c>
      <c r="Q36" s="28">
        <f>SUM(E36:L36,M36,N36,O36,P36)</f>
        <v>1317825</v>
      </c>
      <c r="R36" s="42">
        <v>50000</v>
      </c>
      <c r="T36" s="8" t="s">
        <v>64</v>
      </c>
      <c r="U36" s="8" t="s">
        <v>172</v>
      </c>
      <c r="V36" s="37">
        <v>80000</v>
      </c>
      <c r="W36" s="38">
        <v>0.1</v>
      </c>
      <c r="X36" s="44">
        <v>100000</v>
      </c>
      <c r="Y36" s="44">
        <v>120000</v>
      </c>
      <c r="Z36" s="44">
        <v>140000</v>
      </c>
    </row>
    <row r="37" spans="1:26" x14ac:dyDescent="0.25">
      <c r="A37" s="8">
        <v>33</v>
      </c>
      <c r="B37" s="16" t="s">
        <v>146</v>
      </c>
      <c r="C37" s="8">
        <v>10</v>
      </c>
      <c r="D37" s="9" t="s">
        <v>54</v>
      </c>
      <c r="E37" s="27">
        <f t="shared" si="10"/>
        <v>94000</v>
      </c>
      <c r="F37" s="27">
        <f t="shared" si="10"/>
        <v>167000</v>
      </c>
      <c r="G37" s="27">
        <f t="shared" si="10"/>
        <v>100000</v>
      </c>
      <c r="H37" s="27">
        <f t="shared" si="10"/>
        <v>100000</v>
      </c>
      <c r="I37" s="27">
        <f t="shared" si="10"/>
        <v>100000</v>
      </c>
      <c r="J37" s="27">
        <f t="shared" si="10"/>
        <v>100000</v>
      </c>
      <c r="K37" s="27">
        <f t="shared" si="10"/>
        <v>100000</v>
      </c>
      <c r="L37" s="27">
        <f t="shared" si="10"/>
        <v>100000</v>
      </c>
      <c r="M37" s="47">
        <f t="shared" si="10"/>
        <v>100000</v>
      </c>
      <c r="N37" s="47">
        <f t="shared" si="10"/>
        <v>100000</v>
      </c>
      <c r="O37" s="47">
        <f t="shared" si="10"/>
        <v>100000</v>
      </c>
      <c r="P37" s="47">
        <f>P117+P196+R37</f>
        <v>156825</v>
      </c>
      <c r="Q37" s="28">
        <f>SUM(E37:L37,M37,N37,O37,P37)</f>
        <v>1317825</v>
      </c>
      <c r="R37" s="42">
        <v>50000</v>
      </c>
      <c r="T37" s="8" t="s">
        <v>66</v>
      </c>
      <c r="U37" s="8" t="s">
        <v>175</v>
      </c>
      <c r="V37" s="37">
        <v>80000</v>
      </c>
      <c r="W37" s="38">
        <v>0.1</v>
      </c>
      <c r="X37" s="44">
        <v>100000</v>
      </c>
      <c r="Y37" s="44">
        <v>120000</v>
      </c>
      <c r="Z37" s="8"/>
    </row>
    <row r="38" spans="1:26" x14ac:dyDescent="0.25">
      <c r="A38" s="8">
        <v>34</v>
      </c>
      <c r="B38" s="16" t="s">
        <v>146</v>
      </c>
      <c r="C38" s="8">
        <v>10</v>
      </c>
      <c r="D38" s="11" t="s">
        <v>55</v>
      </c>
      <c r="E38" s="27">
        <f t="shared" ref="E38:O53" si="11">E118+E197</f>
        <v>94000</v>
      </c>
      <c r="F38" s="27">
        <f t="shared" si="11"/>
        <v>167000</v>
      </c>
      <c r="G38" s="27">
        <f t="shared" si="11"/>
        <v>100000</v>
      </c>
      <c r="H38" s="27">
        <f t="shared" si="11"/>
        <v>100000</v>
      </c>
      <c r="I38" s="27">
        <f t="shared" si="11"/>
        <v>100000</v>
      </c>
      <c r="J38" s="27">
        <f t="shared" si="11"/>
        <v>100000</v>
      </c>
      <c r="K38" s="27">
        <f t="shared" si="11"/>
        <v>100000</v>
      </c>
      <c r="L38" s="27">
        <f t="shared" si="11"/>
        <v>100000</v>
      </c>
      <c r="M38" s="47">
        <f t="shared" si="11"/>
        <v>100000</v>
      </c>
      <c r="N38" s="47">
        <f t="shared" si="11"/>
        <v>100000</v>
      </c>
      <c r="O38" s="47">
        <f t="shared" si="11"/>
        <v>100000</v>
      </c>
      <c r="P38" s="47">
        <f>P118+P197+R38</f>
        <v>156825</v>
      </c>
      <c r="Q38" s="28">
        <f>SUM(E38:L38,M38,N38,O38,P38)</f>
        <v>1317825</v>
      </c>
      <c r="R38" s="42">
        <v>50000</v>
      </c>
      <c r="T38" s="8" t="s">
        <v>59</v>
      </c>
      <c r="U38" s="8" t="s">
        <v>176</v>
      </c>
      <c r="V38" s="37">
        <v>80000</v>
      </c>
      <c r="W38" s="38">
        <v>0.15</v>
      </c>
      <c r="X38" s="44">
        <v>100000</v>
      </c>
      <c r="Y38" s="44">
        <v>120000</v>
      </c>
      <c r="Z38" s="8"/>
    </row>
    <row r="39" spans="1:26" x14ac:dyDescent="0.25">
      <c r="A39" s="8">
        <v>35</v>
      </c>
      <c r="B39" s="8" t="s">
        <v>138</v>
      </c>
      <c r="C39" s="8">
        <v>10</v>
      </c>
      <c r="D39" s="9" t="s">
        <v>35</v>
      </c>
      <c r="E39" s="27">
        <f t="shared" si="11"/>
        <v>85100</v>
      </c>
      <c r="F39" s="27">
        <f t="shared" si="11"/>
        <v>145100</v>
      </c>
      <c r="G39" s="27">
        <f t="shared" si="11"/>
        <v>87500</v>
      </c>
      <c r="H39" s="27">
        <f t="shared" si="11"/>
        <v>87500</v>
      </c>
      <c r="I39" s="27">
        <f t="shared" si="11"/>
        <v>87500</v>
      </c>
      <c r="J39" s="27">
        <f t="shared" si="11"/>
        <v>87500</v>
      </c>
      <c r="K39" s="27">
        <f t="shared" si="11"/>
        <v>87500</v>
      </c>
      <c r="L39" s="27">
        <f t="shared" si="11"/>
        <v>87500</v>
      </c>
      <c r="M39" s="47">
        <f t="shared" si="11"/>
        <v>87500</v>
      </c>
      <c r="N39" s="47">
        <f t="shared" si="11"/>
        <v>87500</v>
      </c>
      <c r="O39" s="47">
        <f t="shared" si="11"/>
        <v>87500</v>
      </c>
      <c r="P39" s="47">
        <f>P119+P198+R39</f>
        <v>144500</v>
      </c>
      <c r="Q39" s="28">
        <f>SUM(E39:L39,M39,N39,O39,P39)</f>
        <v>1162200</v>
      </c>
      <c r="R39" s="42">
        <v>50000</v>
      </c>
      <c r="T39" s="8" t="s">
        <v>62</v>
      </c>
      <c r="U39" s="8" t="s">
        <v>176</v>
      </c>
      <c r="V39" s="37">
        <v>80000</v>
      </c>
      <c r="W39" s="38">
        <v>0.1</v>
      </c>
      <c r="X39" s="44">
        <v>100000</v>
      </c>
      <c r="Y39" s="44">
        <v>120000</v>
      </c>
      <c r="Z39" s="8"/>
    </row>
    <row r="40" spans="1:26" x14ac:dyDescent="0.25">
      <c r="A40" s="8">
        <v>36</v>
      </c>
      <c r="B40" s="16" t="s">
        <v>146</v>
      </c>
      <c r="C40" s="8">
        <v>10</v>
      </c>
      <c r="D40" s="9" t="s">
        <v>36</v>
      </c>
      <c r="E40" s="27">
        <f t="shared" si="11"/>
        <v>94000</v>
      </c>
      <c r="F40" s="27">
        <f t="shared" si="11"/>
        <v>167000</v>
      </c>
      <c r="G40" s="27">
        <f t="shared" si="11"/>
        <v>100000</v>
      </c>
      <c r="H40" s="27">
        <f t="shared" si="11"/>
        <v>100000</v>
      </c>
      <c r="I40" s="27">
        <f t="shared" si="11"/>
        <v>100000</v>
      </c>
      <c r="J40" s="27">
        <f t="shared" si="11"/>
        <v>100000</v>
      </c>
      <c r="K40" s="27">
        <f t="shared" si="11"/>
        <v>100000</v>
      </c>
      <c r="L40" s="27">
        <f t="shared" si="11"/>
        <v>100000</v>
      </c>
      <c r="M40" s="47">
        <f t="shared" si="11"/>
        <v>100000</v>
      </c>
      <c r="N40" s="47">
        <f t="shared" si="11"/>
        <v>100000</v>
      </c>
      <c r="O40" s="47">
        <f t="shared" si="11"/>
        <v>100000</v>
      </c>
      <c r="P40" s="47">
        <f>P120+P199+R40</f>
        <v>156825</v>
      </c>
      <c r="Q40" s="28">
        <f>SUM(E40:L40,M40,N40,O40,P40)</f>
        <v>1317825</v>
      </c>
      <c r="R40" s="42">
        <v>50000</v>
      </c>
      <c r="T40" s="8" t="s">
        <v>67</v>
      </c>
      <c r="U40" s="8" t="s">
        <v>176</v>
      </c>
      <c r="V40" s="37">
        <v>75000</v>
      </c>
      <c r="W40" s="38">
        <v>0.1</v>
      </c>
      <c r="X40" s="44">
        <v>93750</v>
      </c>
      <c r="Y40" s="44">
        <v>112500</v>
      </c>
      <c r="Z40" s="8"/>
    </row>
    <row r="41" spans="1:26" x14ac:dyDescent="0.25">
      <c r="A41" s="8">
        <v>37</v>
      </c>
      <c r="B41" s="16" t="s">
        <v>146</v>
      </c>
      <c r="C41" s="8">
        <v>12</v>
      </c>
      <c r="D41" s="9" t="s">
        <v>37</v>
      </c>
      <c r="E41" s="27">
        <f t="shared" si="11"/>
        <v>94000</v>
      </c>
      <c r="F41" s="27">
        <f t="shared" si="11"/>
        <v>167000</v>
      </c>
      <c r="G41" s="27">
        <f t="shared" si="11"/>
        <v>120000</v>
      </c>
      <c r="H41" s="27">
        <f t="shared" si="11"/>
        <v>120000</v>
      </c>
      <c r="I41" s="27">
        <f t="shared" si="11"/>
        <v>120000</v>
      </c>
      <c r="J41" s="27">
        <f t="shared" si="11"/>
        <v>120000</v>
      </c>
      <c r="K41" s="27">
        <f t="shared" si="11"/>
        <v>120000</v>
      </c>
      <c r="L41" s="27">
        <f t="shared" si="11"/>
        <v>120000</v>
      </c>
      <c r="M41" s="47">
        <f t="shared" si="11"/>
        <v>120000</v>
      </c>
      <c r="N41" s="47">
        <f t="shared" si="11"/>
        <v>120000</v>
      </c>
      <c r="O41" s="47">
        <f t="shared" si="11"/>
        <v>120000</v>
      </c>
      <c r="P41" s="47">
        <f>P121+P200+R41</f>
        <v>176825</v>
      </c>
      <c r="Q41" s="28">
        <f>SUM(E41:L41,M41,N41,O41,P41)</f>
        <v>1517825</v>
      </c>
      <c r="R41" s="42">
        <v>50000</v>
      </c>
      <c r="T41" s="8" t="s">
        <v>61</v>
      </c>
      <c r="U41" s="8" t="s">
        <v>176</v>
      </c>
      <c r="V41" s="37">
        <v>75000</v>
      </c>
      <c r="W41" s="38">
        <v>0.1</v>
      </c>
      <c r="X41" s="44">
        <v>93750</v>
      </c>
      <c r="Y41" s="44">
        <v>112500</v>
      </c>
      <c r="Z41" s="8"/>
    </row>
    <row r="42" spans="1:26" x14ac:dyDescent="0.25">
      <c r="A42" s="8">
        <v>38</v>
      </c>
      <c r="B42" s="16" t="s">
        <v>145</v>
      </c>
      <c r="C42" s="8">
        <v>12</v>
      </c>
      <c r="D42" s="11" t="s">
        <v>56</v>
      </c>
      <c r="E42" s="27">
        <f t="shared" si="11"/>
        <v>94000</v>
      </c>
      <c r="F42" s="27">
        <f t="shared" si="11"/>
        <v>167000</v>
      </c>
      <c r="G42" s="27">
        <f t="shared" si="11"/>
        <v>120000</v>
      </c>
      <c r="H42" s="27">
        <f t="shared" si="11"/>
        <v>120000</v>
      </c>
      <c r="I42" s="27">
        <f t="shared" si="11"/>
        <v>120000</v>
      </c>
      <c r="J42" s="27">
        <f t="shared" si="11"/>
        <v>120000</v>
      </c>
      <c r="K42" s="27">
        <f t="shared" si="11"/>
        <v>120000</v>
      </c>
      <c r="L42" s="27">
        <f t="shared" si="11"/>
        <v>120000</v>
      </c>
      <c r="M42" s="47">
        <f t="shared" si="11"/>
        <v>120000</v>
      </c>
      <c r="N42" s="47">
        <f t="shared" si="11"/>
        <v>120000</v>
      </c>
      <c r="O42" s="47">
        <f t="shared" si="11"/>
        <v>120000</v>
      </c>
      <c r="P42" s="47">
        <f>P122+P201+R42</f>
        <v>176825</v>
      </c>
      <c r="Q42" s="28">
        <f>SUM(E42:L42,M42,N42,O42,P42)</f>
        <v>1517825</v>
      </c>
      <c r="R42" s="42">
        <v>50000</v>
      </c>
      <c r="T42" s="8" t="s">
        <v>68</v>
      </c>
      <c r="U42" s="8" t="s">
        <v>176</v>
      </c>
      <c r="V42" s="37">
        <v>75000</v>
      </c>
      <c r="W42" s="38">
        <v>0.1</v>
      </c>
      <c r="X42" s="44">
        <v>93750</v>
      </c>
      <c r="Y42" s="44">
        <v>112500</v>
      </c>
      <c r="Z42" s="8"/>
    </row>
    <row r="43" spans="1:26" x14ac:dyDescent="0.25">
      <c r="A43" s="8">
        <v>39</v>
      </c>
      <c r="B43" s="14" t="s">
        <v>59</v>
      </c>
      <c r="C43" s="8">
        <v>12</v>
      </c>
      <c r="D43" s="11" t="s">
        <v>57</v>
      </c>
      <c r="E43" s="27">
        <f t="shared" si="11"/>
        <v>123000</v>
      </c>
      <c r="F43" s="27">
        <f t="shared" si="11"/>
        <v>195000</v>
      </c>
      <c r="G43" s="27">
        <f t="shared" si="11"/>
        <v>130000</v>
      </c>
      <c r="H43" s="27">
        <f t="shared" si="11"/>
        <v>130000</v>
      </c>
      <c r="I43" s="27">
        <f t="shared" si="11"/>
        <v>130000</v>
      </c>
      <c r="J43" s="27">
        <f t="shared" si="11"/>
        <v>130000</v>
      </c>
      <c r="K43" s="27">
        <f t="shared" si="11"/>
        <v>130000</v>
      </c>
      <c r="L43" s="27">
        <f t="shared" si="11"/>
        <v>130000</v>
      </c>
      <c r="M43" s="47">
        <f t="shared" si="11"/>
        <v>130000</v>
      </c>
      <c r="N43" s="47">
        <f t="shared" si="11"/>
        <v>130000</v>
      </c>
      <c r="O43" s="47">
        <f t="shared" si="11"/>
        <v>130000</v>
      </c>
      <c r="P43" s="47">
        <f>P123+P202+R43</f>
        <v>186825</v>
      </c>
      <c r="Q43" s="28">
        <f>SUM(E43:L43,M43,N43,O43,P43)</f>
        <v>1674825</v>
      </c>
      <c r="R43" s="42">
        <v>50000</v>
      </c>
      <c r="T43" s="8" t="s">
        <v>60</v>
      </c>
      <c r="U43" s="8" t="s">
        <v>176</v>
      </c>
      <c r="V43" s="37">
        <v>75000</v>
      </c>
      <c r="W43" s="38">
        <v>0.1</v>
      </c>
      <c r="X43" s="44">
        <v>93750</v>
      </c>
      <c r="Y43" s="44">
        <v>112500</v>
      </c>
      <c r="Z43" s="8"/>
    </row>
    <row r="44" spans="1:26" x14ac:dyDescent="0.25">
      <c r="A44" s="8">
        <v>40</v>
      </c>
      <c r="B44" s="16" t="s">
        <v>146</v>
      </c>
      <c r="C44" s="8">
        <v>10</v>
      </c>
      <c r="D44" s="9" t="s">
        <v>38</v>
      </c>
      <c r="E44" s="27">
        <f t="shared" si="11"/>
        <v>94000</v>
      </c>
      <c r="F44" s="27">
        <f t="shared" si="11"/>
        <v>167000</v>
      </c>
      <c r="G44" s="27">
        <f t="shared" si="11"/>
        <v>100000</v>
      </c>
      <c r="H44" s="27">
        <f t="shared" si="11"/>
        <v>100000</v>
      </c>
      <c r="I44" s="27">
        <f t="shared" si="11"/>
        <v>100000</v>
      </c>
      <c r="J44" s="27">
        <f t="shared" si="11"/>
        <v>100000</v>
      </c>
      <c r="K44" s="27">
        <f t="shared" si="11"/>
        <v>100000</v>
      </c>
      <c r="L44" s="27">
        <f t="shared" si="11"/>
        <v>100000</v>
      </c>
      <c r="M44" s="47">
        <f t="shared" si="11"/>
        <v>100000</v>
      </c>
      <c r="N44" s="47">
        <f t="shared" si="11"/>
        <v>100000</v>
      </c>
      <c r="O44" s="47">
        <f t="shared" si="11"/>
        <v>100000</v>
      </c>
      <c r="P44" s="47">
        <f>P124+P203+R44</f>
        <v>156825</v>
      </c>
      <c r="Q44" s="28">
        <f>SUM(E44:L44,M44,N44,O44,P44)</f>
        <v>1317825</v>
      </c>
      <c r="R44" s="42">
        <v>50000</v>
      </c>
      <c r="T44" s="8" t="s">
        <v>141</v>
      </c>
      <c r="U44" s="8" t="s">
        <v>175</v>
      </c>
      <c r="V44" s="37">
        <v>70000</v>
      </c>
      <c r="W44" s="38"/>
      <c r="X44" s="44">
        <v>87500</v>
      </c>
      <c r="Y44" s="44">
        <v>105000</v>
      </c>
      <c r="Z44" s="8"/>
    </row>
    <row r="45" spans="1:26" x14ac:dyDescent="0.25">
      <c r="A45" s="8">
        <v>41</v>
      </c>
      <c r="B45" s="16" t="s">
        <v>146</v>
      </c>
      <c r="C45" s="31">
        <v>10</v>
      </c>
      <c r="D45" s="13" t="s">
        <v>39</v>
      </c>
      <c r="E45" s="27">
        <f t="shared" si="11"/>
        <v>94000</v>
      </c>
      <c r="F45" s="27">
        <f t="shared" si="11"/>
        <v>167000</v>
      </c>
      <c r="G45" s="27">
        <f t="shared" si="11"/>
        <v>100000</v>
      </c>
      <c r="H45" s="27">
        <f t="shared" si="11"/>
        <v>100000</v>
      </c>
      <c r="I45" s="27">
        <f t="shared" si="11"/>
        <v>100000</v>
      </c>
      <c r="J45" s="27">
        <f t="shared" si="11"/>
        <v>100000</v>
      </c>
      <c r="K45" s="27">
        <f t="shared" si="11"/>
        <v>100000</v>
      </c>
      <c r="L45" s="27">
        <f t="shared" si="11"/>
        <v>100000</v>
      </c>
      <c r="M45" s="47">
        <f t="shared" si="11"/>
        <v>100000</v>
      </c>
      <c r="N45" s="47">
        <f t="shared" si="11"/>
        <v>100000</v>
      </c>
      <c r="O45" s="47">
        <f t="shared" si="11"/>
        <v>100000</v>
      </c>
      <c r="P45" s="47">
        <f>P125+P204+R45</f>
        <v>156825</v>
      </c>
      <c r="Q45" s="28">
        <f>SUM(E45:L45,M45,N45,O45,P45)</f>
        <v>1317825</v>
      </c>
      <c r="R45" s="42">
        <v>50000</v>
      </c>
      <c r="T45" s="8" t="s">
        <v>139</v>
      </c>
      <c r="U45" s="8" t="s">
        <v>171</v>
      </c>
      <c r="V45" s="37">
        <v>30000</v>
      </c>
      <c r="W45" s="40">
        <v>80000</v>
      </c>
      <c r="X45" s="44">
        <v>37500.000000000007</v>
      </c>
      <c r="Y45" s="44">
        <v>45000.000000000007</v>
      </c>
      <c r="Z45" s="8"/>
    </row>
    <row r="46" spans="1:26" x14ac:dyDescent="0.25">
      <c r="A46" s="8">
        <v>42</v>
      </c>
      <c r="B46" s="15" t="s">
        <v>68</v>
      </c>
      <c r="C46" s="8">
        <v>10</v>
      </c>
      <c r="D46" s="11" t="s">
        <v>58</v>
      </c>
      <c r="E46" s="27">
        <f t="shared" si="11"/>
        <v>94000</v>
      </c>
      <c r="F46" s="27">
        <f t="shared" si="11"/>
        <v>167000</v>
      </c>
      <c r="G46" s="27">
        <f t="shared" si="11"/>
        <v>100000</v>
      </c>
      <c r="H46" s="27">
        <f t="shared" si="11"/>
        <v>100000</v>
      </c>
      <c r="I46" s="27">
        <f t="shared" si="11"/>
        <v>100000</v>
      </c>
      <c r="J46" s="27">
        <f t="shared" si="11"/>
        <v>100000</v>
      </c>
      <c r="K46" s="27">
        <f t="shared" si="11"/>
        <v>100000</v>
      </c>
      <c r="L46" s="27">
        <f t="shared" si="11"/>
        <v>100000</v>
      </c>
      <c r="M46" s="47">
        <f t="shared" si="11"/>
        <v>100000</v>
      </c>
      <c r="N46" s="47">
        <f t="shared" si="11"/>
        <v>100000</v>
      </c>
      <c r="O46" s="47">
        <f t="shared" si="11"/>
        <v>100000</v>
      </c>
      <c r="P46" s="47">
        <f>P126+P205+R46</f>
        <v>156825</v>
      </c>
      <c r="Q46" s="28">
        <f>SUM(E46:L46,M46,N46,O46,P46)</f>
        <v>1317825</v>
      </c>
      <c r="R46" s="42">
        <v>50000</v>
      </c>
      <c r="T46" s="8" t="s">
        <v>140</v>
      </c>
      <c r="U46" s="8" t="s">
        <v>176</v>
      </c>
      <c r="V46" s="37">
        <v>75000</v>
      </c>
      <c r="W46" s="38">
        <v>0.1</v>
      </c>
      <c r="X46" s="44">
        <v>93750</v>
      </c>
      <c r="Y46" s="44">
        <v>112500</v>
      </c>
      <c r="Z46" s="8"/>
    </row>
    <row r="47" spans="1:26" x14ac:dyDescent="0.25">
      <c r="A47" s="8">
        <v>43</v>
      </c>
      <c r="B47" s="16" t="s">
        <v>146</v>
      </c>
      <c r="C47" s="8">
        <v>10</v>
      </c>
      <c r="D47" s="9" t="s">
        <v>40</v>
      </c>
      <c r="E47" s="27">
        <f t="shared" si="11"/>
        <v>94000</v>
      </c>
      <c r="F47" s="27">
        <f t="shared" si="11"/>
        <v>167000</v>
      </c>
      <c r="G47" s="27">
        <f t="shared" si="11"/>
        <v>100000</v>
      </c>
      <c r="H47" s="27">
        <f t="shared" si="11"/>
        <v>100000</v>
      </c>
      <c r="I47" s="27">
        <f t="shared" si="11"/>
        <v>100000</v>
      </c>
      <c r="J47" s="27">
        <f t="shared" si="11"/>
        <v>100000</v>
      </c>
      <c r="K47" s="27">
        <f t="shared" si="11"/>
        <v>100000</v>
      </c>
      <c r="L47" s="27">
        <f t="shared" si="11"/>
        <v>100000</v>
      </c>
      <c r="M47" s="47">
        <f t="shared" si="11"/>
        <v>100000</v>
      </c>
      <c r="N47" s="47">
        <f t="shared" si="11"/>
        <v>100000</v>
      </c>
      <c r="O47" s="47">
        <f t="shared" si="11"/>
        <v>100000</v>
      </c>
      <c r="P47" s="47">
        <f>P127+P206+R47</f>
        <v>156825</v>
      </c>
      <c r="Q47" s="28">
        <f>SUM(E47:L47,M47,N47,O47,P47)</f>
        <v>1317825</v>
      </c>
      <c r="R47" s="42">
        <v>50000</v>
      </c>
      <c r="T47" s="8" t="s">
        <v>147</v>
      </c>
      <c r="U47" s="8" t="s">
        <v>88</v>
      </c>
      <c r="V47" s="37">
        <v>70000</v>
      </c>
      <c r="W47" s="38"/>
      <c r="X47" s="44"/>
      <c r="Y47" s="44"/>
      <c r="Z47" s="8"/>
    </row>
    <row r="48" spans="1:26" x14ac:dyDescent="0.25">
      <c r="A48" s="8">
        <v>44</v>
      </c>
      <c r="B48" s="32" t="s">
        <v>152</v>
      </c>
      <c r="C48" s="8">
        <v>8</v>
      </c>
      <c r="D48" s="9" t="s">
        <v>156</v>
      </c>
      <c r="E48" s="27">
        <f t="shared" si="11"/>
        <v>0</v>
      </c>
      <c r="F48" s="27">
        <f t="shared" si="11"/>
        <v>60000</v>
      </c>
      <c r="G48" s="27">
        <f t="shared" si="11"/>
        <v>120000</v>
      </c>
      <c r="H48" s="27">
        <f t="shared" si="11"/>
        <v>120000</v>
      </c>
      <c r="I48" s="27">
        <f t="shared" si="11"/>
        <v>150000</v>
      </c>
      <c r="J48" s="27">
        <f t="shared" si="11"/>
        <v>180000</v>
      </c>
      <c r="K48" s="27">
        <f t="shared" si="11"/>
        <v>180000</v>
      </c>
      <c r="L48" s="27">
        <f t="shared" si="11"/>
        <v>180000</v>
      </c>
      <c r="M48" s="47">
        <f t="shared" si="11"/>
        <v>180000</v>
      </c>
      <c r="N48" s="47">
        <f t="shared" si="11"/>
        <v>180000</v>
      </c>
      <c r="O48" s="47">
        <f t="shared" si="11"/>
        <v>180000</v>
      </c>
      <c r="P48" s="47">
        <f>P128+P207+R48</f>
        <v>295000</v>
      </c>
      <c r="Q48" s="28">
        <f>SUM(E48:L48,M48,N48,O48,P48)</f>
        <v>1825000</v>
      </c>
      <c r="R48" s="42">
        <v>100000</v>
      </c>
      <c r="T48" s="8" t="s">
        <v>148</v>
      </c>
      <c r="U48" s="8" t="s">
        <v>88</v>
      </c>
      <c r="V48" s="37">
        <v>100000</v>
      </c>
      <c r="W48" s="38"/>
      <c r="X48" s="44"/>
      <c r="Y48" s="44"/>
      <c r="Z48" s="8"/>
    </row>
    <row r="49" spans="1:26" x14ac:dyDescent="0.25">
      <c r="A49" s="8">
        <v>45</v>
      </c>
      <c r="B49" s="16" t="s">
        <v>139</v>
      </c>
      <c r="C49" s="8">
        <v>10</v>
      </c>
      <c r="D49" s="57"/>
      <c r="E49" s="27">
        <f t="shared" si="11"/>
        <v>0</v>
      </c>
      <c r="F49" s="27">
        <f t="shared" si="11"/>
        <v>0</v>
      </c>
      <c r="G49" s="27">
        <f t="shared" si="11"/>
        <v>100000</v>
      </c>
      <c r="H49" s="27">
        <f t="shared" si="11"/>
        <v>100000</v>
      </c>
      <c r="I49" s="27">
        <f t="shared" si="11"/>
        <v>100000</v>
      </c>
      <c r="J49" s="27">
        <f t="shared" si="11"/>
        <v>100000</v>
      </c>
      <c r="K49" s="27">
        <f t="shared" si="11"/>
        <v>100000</v>
      </c>
      <c r="L49" s="27">
        <f t="shared" si="11"/>
        <v>100000</v>
      </c>
      <c r="M49" s="47">
        <f t="shared" si="11"/>
        <v>100000</v>
      </c>
      <c r="N49" s="47">
        <f t="shared" si="11"/>
        <v>100000</v>
      </c>
      <c r="O49" s="47">
        <f t="shared" si="11"/>
        <v>100000</v>
      </c>
      <c r="P49" s="47">
        <f>P129+P208+R49</f>
        <v>156825</v>
      </c>
      <c r="Q49" s="28">
        <f>SUM(E49:L49,M49,N49,O49,P49)</f>
        <v>1056825</v>
      </c>
      <c r="R49" s="42">
        <v>50000</v>
      </c>
      <c r="T49" s="8" t="s">
        <v>155</v>
      </c>
      <c r="U49" s="8" t="s">
        <v>173</v>
      </c>
      <c r="V49" s="37">
        <v>150000</v>
      </c>
      <c r="W49" s="40">
        <v>30000</v>
      </c>
      <c r="X49" s="44"/>
      <c r="Y49" s="44"/>
      <c r="Z49" s="8"/>
    </row>
    <row r="50" spans="1:26" x14ac:dyDescent="0.25">
      <c r="A50" s="8">
        <v>46</v>
      </c>
      <c r="B50" s="16" t="s">
        <v>139</v>
      </c>
      <c r="C50" s="8">
        <v>10</v>
      </c>
      <c r="D50" s="55"/>
      <c r="E50" s="27">
        <f t="shared" si="11"/>
        <v>0</v>
      </c>
      <c r="F50" s="27">
        <f t="shared" si="11"/>
        <v>0</v>
      </c>
      <c r="G50" s="27">
        <f t="shared" si="11"/>
        <v>100000</v>
      </c>
      <c r="H50" s="27">
        <f t="shared" si="11"/>
        <v>100000</v>
      </c>
      <c r="I50" s="27">
        <f t="shared" si="11"/>
        <v>100000</v>
      </c>
      <c r="J50" s="27">
        <f t="shared" si="11"/>
        <v>100000</v>
      </c>
      <c r="K50" s="27">
        <f t="shared" si="11"/>
        <v>100000</v>
      </c>
      <c r="L50" s="27">
        <f t="shared" si="11"/>
        <v>100000</v>
      </c>
      <c r="M50" s="47">
        <f t="shared" si="11"/>
        <v>100000</v>
      </c>
      <c r="N50" s="47">
        <f t="shared" si="11"/>
        <v>100000</v>
      </c>
      <c r="O50" s="47">
        <f t="shared" si="11"/>
        <v>100000</v>
      </c>
      <c r="P50" s="47">
        <f>P130+P209+R50</f>
        <v>156825</v>
      </c>
      <c r="Q50" s="28">
        <f>SUM(E50:L50,M50,N50,O50,P50)</f>
        <v>1056825</v>
      </c>
      <c r="R50" s="42">
        <v>50000</v>
      </c>
      <c r="T50" s="8" t="s">
        <v>151</v>
      </c>
      <c r="U50" s="8" t="s">
        <v>173</v>
      </c>
      <c r="V50" s="37">
        <v>150000</v>
      </c>
      <c r="W50" s="40">
        <v>50000</v>
      </c>
      <c r="X50" s="44"/>
      <c r="Y50" s="44"/>
      <c r="Z50" s="8"/>
    </row>
    <row r="51" spans="1:26" x14ac:dyDescent="0.25">
      <c r="A51" s="8">
        <v>47</v>
      </c>
      <c r="B51" s="16" t="s">
        <v>139</v>
      </c>
      <c r="C51" s="8">
        <v>10</v>
      </c>
      <c r="D51" s="55"/>
      <c r="E51" s="27">
        <f t="shared" si="11"/>
        <v>0</v>
      </c>
      <c r="F51" s="27">
        <f t="shared" si="11"/>
        <v>0</v>
      </c>
      <c r="G51" s="27">
        <f t="shared" si="11"/>
        <v>100000</v>
      </c>
      <c r="H51" s="27">
        <f t="shared" si="11"/>
        <v>100000</v>
      </c>
      <c r="I51" s="27">
        <f t="shared" si="11"/>
        <v>100000</v>
      </c>
      <c r="J51" s="27">
        <f t="shared" si="11"/>
        <v>100000</v>
      </c>
      <c r="K51" s="27">
        <f t="shared" si="11"/>
        <v>100000</v>
      </c>
      <c r="L51" s="27">
        <f t="shared" si="11"/>
        <v>100000</v>
      </c>
      <c r="M51" s="47">
        <f t="shared" si="11"/>
        <v>100000</v>
      </c>
      <c r="N51" s="47">
        <f t="shared" si="11"/>
        <v>100000</v>
      </c>
      <c r="O51" s="47">
        <f t="shared" si="11"/>
        <v>100000</v>
      </c>
      <c r="P51" s="47">
        <f>P131+P210+R51</f>
        <v>156825</v>
      </c>
      <c r="Q51" s="28">
        <f>SUM(E51:L51,M51,N51,O51,P51)</f>
        <v>1056825</v>
      </c>
      <c r="R51" s="42">
        <v>50000</v>
      </c>
      <c r="T51" s="8" t="s">
        <v>152</v>
      </c>
      <c r="U51" s="8" t="s">
        <v>173</v>
      </c>
      <c r="V51" s="37">
        <v>150000</v>
      </c>
      <c r="W51" s="40">
        <v>30000</v>
      </c>
      <c r="X51" s="44"/>
      <c r="Y51" s="44"/>
      <c r="Z51" s="8"/>
    </row>
    <row r="52" spans="1:26" x14ac:dyDescent="0.25">
      <c r="A52" s="8">
        <v>48</v>
      </c>
      <c r="B52" s="16" t="s">
        <v>139</v>
      </c>
      <c r="C52" s="8">
        <v>10</v>
      </c>
      <c r="D52" s="55"/>
      <c r="E52" s="27">
        <f t="shared" si="11"/>
        <v>0</v>
      </c>
      <c r="F52" s="27">
        <f t="shared" si="11"/>
        <v>0</v>
      </c>
      <c r="G52" s="27">
        <f t="shared" si="11"/>
        <v>100000</v>
      </c>
      <c r="H52" s="27">
        <f t="shared" si="11"/>
        <v>100000</v>
      </c>
      <c r="I52" s="27">
        <f t="shared" si="11"/>
        <v>100000</v>
      </c>
      <c r="J52" s="27">
        <f t="shared" si="11"/>
        <v>100000</v>
      </c>
      <c r="K52" s="27">
        <f t="shared" si="11"/>
        <v>100000</v>
      </c>
      <c r="L52" s="27">
        <f t="shared" si="11"/>
        <v>100000</v>
      </c>
      <c r="M52" s="47">
        <f t="shared" si="11"/>
        <v>100000</v>
      </c>
      <c r="N52" s="47">
        <f t="shared" si="11"/>
        <v>100000</v>
      </c>
      <c r="O52" s="47">
        <f t="shared" si="11"/>
        <v>100000</v>
      </c>
      <c r="P52" s="47">
        <f>P132+P211+R52</f>
        <v>156825</v>
      </c>
      <c r="Q52" s="28">
        <f>SUM(E52:L52,M52,N52,O52,P52)</f>
        <v>1056825</v>
      </c>
      <c r="R52" s="42">
        <v>50000</v>
      </c>
      <c r="T52" s="8" t="s">
        <v>168</v>
      </c>
      <c r="U52" s="8" t="s">
        <v>174</v>
      </c>
      <c r="V52" s="37">
        <v>75000</v>
      </c>
      <c r="W52" s="38">
        <v>0.1</v>
      </c>
      <c r="X52" s="44">
        <v>93750</v>
      </c>
      <c r="Y52" s="44">
        <v>112500</v>
      </c>
      <c r="Z52" s="8"/>
    </row>
    <row r="53" spans="1:26" x14ac:dyDescent="0.25">
      <c r="A53" s="8">
        <v>49</v>
      </c>
      <c r="B53" s="16" t="s">
        <v>139</v>
      </c>
      <c r="C53" s="8">
        <v>10</v>
      </c>
      <c r="D53" s="55"/>
      <c r="E53" s="27">
        <f t="shared" si="11"/>
        <v>0</v>
      </c>
      <c r="F53" s="27">
        <f t="shared" si="11"/>
        <v>0</v>
      </c>
      <c r="G53" s="27">
        <f t="shared" si="11"/>
        <v>100000</v>
      </c>
      <c r="H53" s="27">
        <f t="shared" si="11"/>
        <v>100000</v>
      </c>
      <c r="I53" s="27">
        <f t="shared" si="11"/>
        <v>100000</v>
      </c>
      <c r="J53" s="27">
        <f t="shared" si="11"/>
        <v>100000</v>
      </c>
      <c r="K53" s="27">
        <f t="shared" si="11"/>
        <v>100000</v>
      </c>
      <c r="L53" s="27">
        <f t="shared" si="11"/>
        <v>100000</v>
      </c>
      <c r="M53" s="47">
        <f t="shared" si="11"/>
        <v>100000</v>
      </c>
      <c r="N53" s="47">
        <f t="shared" si="11"/>
        <v>100000</v>
      </c>
      <c r="O53" s="47">
        <f t="shared" si="11"/>
        <v>100000</v>
      </c>
      <c r="P53" s="47">
        <f>P133+P212+R53</f>
        <v>156825</v>
      </c>
      <c r="Q53" s="28">
        <f>SUM(E53:L53,M53,N53,O53,P53)</f>
        <v>1056825</v>
      </c>
      <c r="R53" s="42">
        <v>50000</v>
      </c>
      <c r="T53" s="8" t="s">
        <v>169</v>
      </c>
      <c r="U53" s="8" t="s">
        <v>174</v>
      </c>
      <c r="V53" s="37">
        <v>90000</v>
      </c>
      <c r="W53" s="38">
        <v>0.1</v>
      </c>
      <c r="X53" s="44"/>
      <c r="Y53" s="44"/>
      <c r="Z53" s="8"/>
    </row>
    <row r="54" spans="1:26" x14ac:dyDescent="0.25">
      <c r="A54" s="8">
        <v>50</v>
      </c>
      <c r="B54" s="16" t="s">
        <v>139</v>
      </c>
      <c r="C54" s="8">
        <v>10</v>
      </c>
      <c r="D54" s="55"/>
      <c r="E54" s="27">
        <f t="shared" ref="E54:O69" si="12">E134+E213</f>
        <v>0</v>
      </c>
      <c r="F54" s="27">
        <f t="shared" si="12"/>
        <v>0</v>
      </c>
      <c r="G54" s="27">
        <f t="shared" si="12"/>
        <v>100000</v>
      </c>
      <c r="H54" s="27">
        <f t="shared" si="12"/>
        <v>100000</v>
      </c>
      <c r="I54" s="27">
        <f t="shared" si="12"/>
        <v>100000</v>
      </c>
      <c r="J54" s="27">
        <f t="shared" si="12"/>
        <v>100000</v>
      </c>
      <c r="K54" s="27">
        <f t="shared" si="12"/>
        <v>100000</v>
      </c>
      <c r="L54" s="27">
        <f t="shared" si="12"/>
        <v>100000</v>
      </c>
      <c r="M54" s="47">
        <f t="shared" si="12"/>
        <v>100000</v>
      </c>
      <c r="N54" s="47">
        <f t="shared" si="12"/>
        <v>100000</v>
      </c>
      <c r="O54" s="47">
        <f t="shared" si="12"/>
        <v>100000</v>
      </c>
      <c r="P54" s="47">
        <f>P134+P213+R54</f>
        <v>156825</v>
      </c>
      <c r="Q54" s="28">
        <f>SUM(E54:L54,M54,N54,O54,P54)</f>
        <v>1056825</v>
      </c>
      <c r="R54" s="42">
        <v>50000</v>
      </c>
    </row>
    <row r="55" spans="1:26" x14ac:dyDescent="0.25">
      <c r="A55" s="8">
        <v>51</v>
      </c>
      <c r="B55" s="16" t="s">
        <v>139</v>
      </c>
      <c r="C55" s="8">
        <v>10</v>
      </c>
      <c r="D55" s="55"/>
      <c r="E55" s="27">
        <f t="shared" si="12"/>
        <v>0</v>
      </c>
      <c r="F55" s="27">
        <f t="shared" si="12"/>
        <v>0</v>
      </c>
      <c r="G55" s="27">
        <f t="shared" si="12"/>
        <v>100000</v>
      </c>
      <c r="H55" s="27">
        <f t="shared" si="12"/>
        <v>100000</v>
      </c>
      <c r="I55" s="27">
        <f t="shared" si="12"/>
        <v>100000</v>
      </c>
      <c r="J55" s="27">
        <f t="shared" si="12"/>
        <v>100000</v>
      </c>
      <c r="K55" s="27">
        <f t="shared" si="12"/>
        <v>100000</v>
      </c>
      <c r="L55" s="27">
        <f t="shared" si="12"/>
        <v>100000</v>
      </c>
      <c r="M55" s="47">
        <f t="shared" si="12"/>
        <v>100000</v>
      </c>
      <c r="N55" s="47">
        <f t="shared" si="12"/>
        <v>100000</v>
      </c>
      <c r="O55" s="47">
        <f t="shared" si="12"/>
        <v>100000</v>
      </c>
      <c r="P55" s="47">
        <f>P135+P214+R55</f>
        <v>156825</v>
      </c>
      <c r="Q55" s="28">
        <f>SUM(E55:L55,M55,N55,O55,P55)</f>
        <v>1056825</v>
      </c>
      <c r="R55" s="42">
        <v>50000</v>
      </c>
    </row>
    <row r="56" spans="1:26" x14ac:dyDescent="0.25">
      <c r="A56" s="8">
        <v>52</v>
      </c>
      <c r="B56" s="16" t="s">
        <v>139</v>
      </c>
      <c r="C56" s="8">
        <v>10</v>
      </c>
      <c r="D56" s="55"/>
      <c r="E56" s="27">
        <f t="shared" si="12"/>
        <v>0</v>
      </c>
      <c r="F56" s="27">
        <f t="shared" si="12"/>
        <v>0</v>
      </c>
      <c r="G56" s="27">
        <f t="shared" si="12"/>
        <v>100000</v>
      </c>
      <c r="H56" s="27">
        <f t="shared" si="12"/>
        <v>100000</v>
      </c>
      <c r="I56" s="27">
        <f t="shared" si="12"/>
        <v>100000</v>
      </c>
      <c r="J56" s="27">
        <f t="shared" si="12"/>
        <v>100000</v>
      </c>
      <c r="K56" s="27">
        <f t="shared" si="12"/>
        <v>100000</v>
      </c>
      <c r="L56" s="27">
        <f t="shared" si="12"/>
        <v>100000</v>
      </c>
      <c r="M56" s="47">
        <f t="shared" si="12"/>
        <v>100000</v>
      </c>
      <c r="N56" s="47">
        <f t="shared" si="12"/>
        <v>100000</v>
      </c>
      <c r="O56" s="47">
        <f t="shared" si="12"/>
        <v>100000</v>
      </c>
      <c r="P56" s="47">
        <f>P136+P215+R56</f>
        <v>156825</v>
      </c>
      <c r="Q56" s="28">
        <f>SUM(E56:L56,M56,N56,O56,P56)</f>
        <v>1056825</v>
      </c>
      <c r="R56" s="42">
        <v>50000</v>
      </c>
    </row>
    <row r="57" spans="1:26" x14ac:dyDescent="0.25">
      <c r="A57" s="8">
        <v>53</v>
      </c>
      <c r="B57" s="16" t="s">
        <v>139</v>
      </c>
      <c r="C57" s="8">
        <v>10</v>
      </c>
      <c r="D57" s="11"/>
      <c r="E57" s="27">
        <f t="shared" si="12"/>
        <v>0</v>
      </c>
      <c r="F57" s="27">
        <f t="shared" si="12"/>
        <v>0</v>
      </c>
      <c r="G57" s="27">
        <f t="shared" si="12"/>
        <v>0</v>
      </c>
      <c r="H57" s="27">
        <f t="shared" si="12"/>
        <v>0</v>
      </c>
      <c r="I57" s="27">
        <f t="shared" si="12"/>
        <v>0</v>
      </c>
      <c r="J57" s="27">
        <f t="shared" si="12"/>
        <v>0</v>
      </c>
      <c r="K57" s="27">
        <f t="shared" si="12"/>
        <v>0</v>
      </c>
      <c r="L57" s="27">
        <f t="shared" si="12"/>
        <v>0</v>
      </c>
      <c r="M57" s="47">
        <f t="shared" si="12"/>
        <v>100000</v>
      </c>
      <c r="N57" s="47">
        <f t="shared" si="12"/>
        <v>100000</v>
      </c>
      <c r="O57" s="47">
        <f t="shared" si="12"/>
        <v>100000</v>
      </c>
      <c r="P57" s="47">
        <f>P137+P216+R57</f>
        <v>156825</v>
      </c>
      <c r="Q57" s="28">
        <f>SUM(E57:L57,M57,N57,O57,P57)</f>
        <v>456825</v>
      </c>
      <c r="R57" s="42">
        <v>50000</v>
      </c>
    </row>
    <row r="58" spans="1:26" x14ac:dyDescent="0.25">
      <c r="A58" s="8">
        <v>54</v>
      </c>
      <c r="B58" s="16" t="s">
        <v>139</v>
      </c>
      <c r="C58" s="8">
        <v>10</v>
      </c>
      <c r="D58" s="11"/>
      <c r="E58" s="27">
        <f t="shared" si="12"/>
        <v>0</v>
      </c>
      <c r="F58" s="27">
        <f t="shared" si="12"/>
        <v>0</v>
      </c>
      <c r="G58" s="27">
        <f t="shared" si="12"/>
        <v>0</v>
      </c>
      <c r="H58" s="27">
        <f t="shared" si="12"/>
        <v>0</v>
      </c>
      <c r="I58" s="27">
        <f t="shared" si="12"/>
        <v>0</v>
      </c>
      <c r="J58" s="27">
        <f t="shared" si="12"/>
        <v>0</v>
      </c>
      <c r="K58" s="27">
        <f t="shared" si="12"/>
        <v>0</v>
      </c>
      <c r="L58" s="27">
        <f t="shared" si="12"/>
        <v>0</v>
      </c>
      <c r="M58" s="47">
        <f t="shared" si="12"/>
        <v>100000</v>
      </c>
      <c r="N58" s="47">
        <f t="shared" si="12"/>
        <v>100000</v>
      </c>
      <c r="O58" s="47">
        <f t="shared" si="12"/>
        <v>100000</v>
      </c>
      <c r="P58" s="47">
        <f>P138+P217+R58</f>
        <v>156825</v>
      </c>
      <c r="Q58" s="28">
        <f>SUM(E58:L58,M58,N58,O58,P58)</f>
        <v>456825</v>
      </c>
      <c r="R58" s="42">
        <v>50000</v>
      </c>
      <c r="T58" s="32" t="s">
        <v>188</v>
      </c>
      <c r="U58" s="52" t="s">
        <v>189</v>
      </c>
      <c r="V58" s="32" t="s">
        <v>190</v>
      </c>
      <c r="W58" s="32" t="s">
        <v>191</v>
      </c>
      <c r="X58" s="32" t="s">
        <v>192</v>
      </c>
      <c r="Y58" s="32" t="s">
        <v>193</v>
      </c>
    </row>
    <row r="59" spans="1:26" x14ac:dyDescent="0.25">
      <c r="A59" s="8">
        <v>55</v>
      </c>
      <c r="B59" s="15" t="s">
        <v>140</v>
      </c>
      <c r="C59" s="8">
        <v>10</v>
      </c>
      <c r="D59" s="55"/>
      <c r="E59" s="27">
        <f t="shared" si="12"/>
        <v>0</v>
      </c>
      <c r="F59" s="27">
        <f t="shared" si="12"/>
        <v>0</v>
      </c>
      <c r="G59" s="27">
        <f t="shared" si="12"/>
        <v>100000</v>
      </c>
      <c r="H59" s="27">
        <f t="shared" si="12"/>
        <v>100000</v>
      </c>
      <c r="I59" s="27">
        <f t="shared" si="12"/>
        <v>100000</v>
      </c>
      <c r="J59" s="27">
        <f t="shared" si="12"/>
        <v>100000</v>
      </c>
      <c r="K59" s="27">
        <f t="shared" si="12"/>
        <v>100000</v>
      </c>
      <c r="L59" s="27">
        <f t="shared" si="12"/>
        <v>100000</v>
      </c>
      <c r="M59" s="47">
        <f t="shared" si="12"/>
        <v>100000</v>
      </c>
      <c r="N59" s="47">
        <f t="shared" si="12"/>
        <v>100000</v>
      </c>
      <c r="O59" s="47">
        <f t="shared" si="12"/>
        <v>100000</v>
      </c>
      <c r="P59" s="47">
        <f>P139+P218+R59</f>
        <v>156825</v>
      </c>
      <c r="Q59" s="28">
        <f>SUM(E59:L59,M59,N59,O59,P59)</f>
        <v>1056825</v>
      </c>
      <c r="R59" s="42">
        <v>50000</v>
      </c>
      <c r="T59" s="50">
        <v>45658</v>
      </c>
      <c r="U59" s="51">
        <v>100500</v>
      </c>
      <c r="V59" s="8">
        <v>31</v>
      </c>
      <c r="W59" s="8">
        <v>14</v>
      </c>
      <c r="X59" s="8">
        <v>10</v>
      </c>
      <c r="Y59" s="44">
        <f>U59/V59*W59*X59</f>
        <v>453870.96774193546</v>
      </c>
    </row>
    <row r="60" spans="1:26" x14ac:dyDescent="0.25">
      <c r="A60" s="8">
        <v>56</v>
      </c>
      <c r="B60" s="15" t="s">
        <v>140</v>
      </c>
      <c r="C60" s="8">
        <v>10</v>
      </c>
      <c r="D60" s="55"/>
      <c r="E60" s="27">
        <f t="shared" si="12"/>
        <v>0</v>
      </c>
      <c r="F60" s="27">
        <f t="shared" si="12"/>
        <v>0</v>
      </c>
      <c r="G60" s="27">
        <f t="shared" si="12"/>
        <v>100000</v>
      </c>
      <c r="H60" s="27">
        <f t="shared" si="12"/>
        <v>100000</v>
      </c>
      <c r="I60" s="27">
        <f t="shared" si="12"/>
        <v>100000</v>
      </c>
      <c r="J60" s="27">
        <f t="shared" si="12"/>
        <v>100000</v>
      </c>
      <c r="K60" s="27">
        <f t="shared" si="12"/>
        <v>100000</v>
      </c>
      <c r="L60" s="27">
        <f t="shared" si="12"/>
        <v>100000</v>
      </c>
      <c r="M60" s="47">
        <f t="shared" si="12"/>
        <v>100000</v>
      </c>
      <c r="N60" s="47">
        <f t="shared" si="12"/>
        <v>100000</v>
      </c>
      <c r="O60" s="47">
        <f t="shared" si="12"/>
        <v>100000</v>
      </c>
      <c r="P60" s="47">
        <f>P140+P219+R60</f>
        <v>156825</v>
      </c>
      <c r="Q60" s="28">
        <f>SUM(E60:L60,M60,N60,O60,P60)</f>
        <v>1056825</v>
      </c>
      <c r="R60" s="42">
        <v>50000</v>
      </c>
      <c r="T60" s="50">
        <v>45689</v>
      </c>
      <c r="U60" s="51">
        <v>100500</v>
      </c>
      <c r="V60" s="8">
        <v>28</v>
      </c>
      <c r="W60" s="8">
        <v>8</v>
      </c>
      <c r="X60" s="8">
        <v>10</v>
      </c>
      <c r="Y60" s="44">
        <f t="shared" ref="Y60:Y70" si="13">U60/V60*W60*X60</f>
        <v>287142.85714285716</v>
      </c>
    </row>
    <row r="61" spans="1:26" x14ac:dyDescent="0.25">
      <c r="A61" s="8">
        <v>57</v>
      </c>
      <c r="B61" s="15" t="s">
        <v>140</v>
      </c>
      <c r="C61" s="8">
        <v>10</v>
      </c>
      <c r="D61" s="55"/>
      <c r="E61" s="27">
        <f t="shared" si="12"/>
        <v>0</v>
      </c>
      <c r="F61" s="27">
        <f t="shared" si="12"/>
        <v>0</v>
      </c>
      <c r="G61" s="27">
        <f t="shared" si="12"/>
        <v>100000</v>
      </c>
      <c r="H61" s="27">
        <f t="shared" si="12"/>
        <v>100000</v>
      </c>
      <c r="I61" s="27">
        <f t="shared" si="12"/>
        <v>100000</v>
      </c>
      <c r="J61" s="27">
        <f t="shared" si="12"/>
        <v>100000</v>
      </c>
      <c r="K61" s="27">
        <f t="shared" si="12"/>
        <v>100000</v>
      </c>
      <c r="L61" s="27">
        <f t="shared" si="12"/>
        <v>100000</v>
      </c>
      <c r="M61" s="47">
        <f t="shared" si="12"/>
        <v>100000</v>
      </c>
      <c r="N61" s="47">
        <f t="shared" si="12"/>
        <v>100000</v>
      </c>
      <c r="O61" s="47">
        <f t="shared" si="12"/>
        <v>100000</v>
      </c>
      <c r="P61" s="47">
        <f>P141+P220+R61</f>
        <v>156825</v>
      </c>
      <c r="Q61" s="28">
        <f>SUM(E61:L61,M61,N61,O61,P61)</f>
        <v>1056825</v>
      </c>
      <c r="R61" s="42">
        <v>50000</v>
      </c>
      <c r="T61" s="50">
        <v>45717</v>
      </c>
      <c r="U61" s="51">
        <v>104300</v>
      </c>
      <c r="V61" s="8">
        <v>31</v>
      </c>
      <c r="W61" s="8">
        <v>10</v>
      </c>
      <c r="X61" s="8">
        <v>10</v>
      </c>
      <c r="Y61" s="44">
        <f t="shared" si="13"/>
        <v>336451.61290322582</v>
      </c>
    </row>
    <row r="62" spans="1:26" x14ac:dyDescent="0.25">
      <c r="A62" s="8">
        <v>58</v>
      </c>
      <c r="B62" s="24" t="s">
        <v>141</v>
      </c>
      <c r="C62" s="8">
        <v>10</v>
      </c>
      <c r="D62" s="11"/>
      <c r="E62" s="27">
        <f t="shared" si="12"/>
        <v>0</v>
      </c>
      <c r="F62" s="27">
        <f t="shared" si="12"/>
        <v>0</v>
      </c>
      <c r="G62" s="27">
        <f t="shared" si="12"/>
        <v>0</v>
      </c>
      <c r="H62" s="27">
        <f t="shared" si="12"/>
        <v>0</v>
      </c>
      <c r="I62" s="27">
        <f t="shared" si="12"/>
        <v>0</v>
      </c>
      <c r="J62" s="27">
        <f t="shared" si="12"/>
        <v>0</v>
      </c>
      <c r="K62" s="27">
        <f t="shared" si="12"/>
        <v>0</v>
      </c>
      <c r="L62" s="27">
        <f t="shared" si="12"/>
        <v>0</v>
      </c>
      <c r="M62" s="47">
        <f t="shared" si="12"/>
        <v>81250</v>
      </c>
      <c r="N62" s="47">
        <f t="shared" si="12"/>
        <v>81250</v>
      </c>
      <c r="O62" s="47">
        <f t="shared" si="12"/>
        <v>81250</v>
      </c>
      <c r="P62" s="47">
        <f>P142+P221+R62</f>
        <v>137750</v>
      </c>
      <c r="Q62" s="28">
        <f>SUM(E62:L62,M62,N62,O62,P62)</f>
        <v>381500</v>
      </c>
      <c r="R62" s="42">
        <v>50000</v>
      </c>
      <c r="T62" s="50">
        <v>45748</v>
      </c>
      <c r="U62" s="51">
        <v>104300</v>
      </c>
      <c r="V62" s="8">
        <v>30</v>
      </c>
      <c r="W62" s="8">
        <v>8</v>
      </c>
      <c r="X62" s="8">
        <v>10</v>
      </c>
      <c r="Y62" s="44">
        <f t="shared" si="13"/>
        <v>278133.33333333331</v>
      </c>
    </row>
    <row r="63" spans="1:26" x14ac:dyDescent="0.25">
      <c r="A63" s="8">
        <v>59</v>
      </c>
      <c r="B63" s="24" t="s">
        <v>141</v>
      </c>
      <c r="C63" s="8">
        <v>10</v>
      </c>
      <c r="D63" s="11"/>
      <c r="E63" s="27">
        <f t="shared" si="12"/>
        <v>0</v>
      </c>
      <c r="F63" s="27">
        <f t="shared" si="12"/>
        <v>0</v>
      </c>
      <c r="G63" s="27">
        <f t="shared" si="12"/>
        <v>0</v>
      </c>
      <c r="H63" s="27">
        <f t="shared" si="12"/>
        <v>0</v>
      </c>
      <c r="I63" s="27">
        <f t="shared" si="12"/>
        <v>0</v>
      </c>
      <c r="J63" s="27">
        <f t="shared" si="12"/>
        <v>0</v>
      </c>
      <c r="K63" s="27">
        <f t="shared" si="12"/>
        <v>0</v>
      </c>
      <c r="L63" s="27">
        <f t="shared" si="12"/>
        <v>0</v>
      </c>
      <c r="M63" s="47">
        <f t="shared" si="12"/>
        <v>81250</v>
      </c>
      <c r="N63" s="47">
        <f t="shared" si="12"/>
        <v>81250</v>
      </c>
      <c r="O63" s="47">
        <f t="shared" si="12"/>
        <v>81250</v>
      </c>
      <c r="P63" s="47">
        <f>P143+P222+R63</f>
        <v>137750</v>
      </c>
      <c r="Q63" s="28">
        <f>SUM(E63:L63,M63,N63,O63,P63)</f>
        <v>381500</v>
      </c>
      <c r="R63" s="42">
        <v>50000</v>
      </c>
      <c r="T63" s="50">
        <v>45778</v>
      </c>
      <c r="U63" s="51">
        <v>104700</v>
      </c>
      <c r="V63" s="8">
        <v>31</v>
      </c>
      <c r="W63" s="8">
        <v>13</v>
      </c>
      <c r="X63" s="8">
        <v>10</v>
      </c>
      <c r="Y63" s="44">
        <f t="shared" si="13"/>
        <v>439064.51612903224</v>
      </c>
    </row>
    <row r="64" spans="1:26" x14ac:dyDescent="0.25">
      <c r="A64" s="8">
        <v>60</v>
      </c>
      <c r="B64" s="24" t="s">
        <v>141</v>
      </c>
      <c r="C64" s="8">
        <v>10</v>
      </c>
      <c r="D64" s="5"/>
      <c r="E64" s="27">
        <f t="shared" si="12"/>
        <v>0</v>
      </c>
      <c r="F64" s="27">
        <f t="shared" si="12"/>
        <v>0</v>
      </c>
      <c r="G64" s="27">
        <f t="shared" si="12"/>
        <v>0</v>
      </c>
      <c r="H64" s="27">
        <f t="shared" si="12"/>
        <v>0</v>
      </c>
      <c r="I64" s="27">
        <f t="shared" si="12"/>
        <v>0</v>
      </c>
      <c r="J64" s="27">
        <f t="shared" si="12"/>
        <v>0</v>
      </c>
      <c r="K64" s="27">
        <f t="shared" si="12"/>
        <v>0</v>
      </c>
      <c r="L64" s="27">
        <f t="shared" si="12"/>
        <v>0</v>
      </c>
      <c r="M64" s="47">
        <f t="shared" si="12"/>
        <v>81250</v>
      </c>
      <c r="N64" s="47">
        <f t="shared" si="12"/>
        <v>81250</v>
      </c>
      <c r="O64" s="47">
        <f t="shared" si="12"/>
        <v>81250</v>
      </c>
      <c r="P64" s="47">
        <f>P144+P223+R64</f>
        <v>137750</v>
      </c>
      <c r="Q64" s="28">
        <f>SUM(E64:L64,M64,N64,O64,P64)</f>
        <v>381500</v>
      </c>
      <c r="R64" s="42">
        <v>50000</v>
      </c>
      <c r="T64" s="50">
        <v>45809</v>
      </c>
      <c r="U64" s="51">
        <v>105200</v>
      </c>
      <c r="V64" s="8">
        <v>30</v>
      </c>
      <c r="W64" s="8">
        <v>11</v>
      </c>
      <c r="X64" s="8">
        <v>10</v>
      </c>
      <c r="Y64" s="44">
        <f t="shared" si="13"/>
        <v>385733.33333333326</v>
      </c>
    </row>
    <row r="65" spans="1:25" x14ac:dyDescent="0.25">
      <c r="A65" s="8">
        <v>61</v>
      </c>
      <c r="B65" s="8" t="s">
        <v>138</v>
      </c>
      <c r="C65" s="8">
        <v>10</v>
      </c>
      <c r="D65" s="56"/>
      <c r="E65" s="27">
        <f t="shared" si="12"/>
        <v>0</v>
      </c>
      <c r="F65" s="27">
        <f t="shared" si="12"/>
        <v>0</v>
      </c>
      <c r="G65" s="27">
        <f t="shared" si="12"/>
        <v>87500</v>
      </c>
      <c r="H65" s="27">
        <f t="shared" si="12"/>
        <v>87500</v>
      </c>
      <c r="I65" s="27">
        <f t="shared" si="12"/>
        <v>87500</v>
      </c>
      <c r="J65" s="27">
        <f t="shared" si="12"/>
        <v>87500</v>
      </c>
      <c r="K65" s="27">
        <f t="shared" si="12"/>
        <v>87500</v>
      </c>
      <c r="L65" s="27">
        <f t="shared" si="12"/>
        <v>87500</v>
      </c>
      <c r="M65" s="47">
        <f t="shared" si="12"/>
        <v>87500</v>
      </c>
      <c r="N65" s="47">
        <f t="shared" si="12"/>
        <v>87500</v>
      </c>
      <c r="O65" s="47">
        <f t="shared" si="12"/>
        <v>87500</v>
      </c>
      <c r="P65" s="47">
        <f>P145+P224+R65</f>
        <v>144500</v>
      </c>
      <c r="Q65" s="28">
        <f>SUM(E65:L65,M65,N65,O65,P65)</f>
        <v>932000</v>
      </c>
      <c r="R65" s="42">
        <v>50000</v>
      </c>
      <c r="T65" s="50">
        <v>45839</v>
      </c>
      <c r="U65" s="51">
        <v>104200</v>
      </c>
      <c r="V65" s="8">
        <v>31</v>
      </c>
      <c r="W65" s="8">
        <v>8</v>
      </c>
      <c r="X65" s="8">
        <v>10</v>
      </c>
      <c r="Y65" s="44">
        <f t="shared" si="13"/>
        <v>268903.22580645164</v>
      </c>
    </row>
    <row r="66" spans="1:25" x14ac:dyDescent="0.25">
      <c r="A66" s="8">
        <v>62</v>
      </c>
      <c r="B66" s="8" t="s">
        <v>138</v>
      </c>
      <c r="C66" s="8">
        <v>10</v>
      </c>
      <c r="D66" s="56"/>
      <c r="E66" s="27">
        <f t="shared" si="12"/>
        <v>0</v>
      </c>
      <c r="F66" s="27">
        <f t="shared" si="12"/>
        <v>0</v>
      </c>
      <c r="G66" s="27">
        <f t="shared" si="12"/>
        <v>87500</v>
      </c>
      <c r="H66" s="27">
        <f t="shared" si="12"/>
        <v>87500</v>
      </c>
      <c r="I66" s="27">
        <f t="shared" si="12"/>
        <v>87500</v>
      </c>
      <c r="J66" s="27">
        <f t="shared" si="12"/>
        <v>87500</v>
      </c>
      <c r="K66" s="27">
        <f t="shared" si="12"/>
        <v>87500</v>
      </c>
      <c r="L66" s="27">
        <f t="shared" si="12"/>
        <v>87500</v>
      </c>
      <c r="M66" s="47">
        <f t="shared" si="12"/>
        <v>87500</v>
      </c>
      <c r="N66" s="47">
        <f t="shared" si="12"/>
        <v>87500</v>
      </c>
      <c r="O66" s="47">
        <f t="shared" si="12"/>
        <v>87500</v>
      </c>
      <c r="P66" s="47">
        <f>P146+P225+R66</f>
        <v>144500</v>
      </c>
      <c r="Q66" s="28">
        <f>SUM(E66:L66,M66,N66,O66,P66)</f>
        <v>932000</v>
      </c>
      <c r="R66" s="42">
        <v>50000</v>
      </c>
      <c r="T66" s="50">
        <v>45870</v>
      </c>
      <c r="U66" s="51">
        <v>104200</v>
      </c>
      <c r="V66" s="8">
        <v>31</v>
      </c>
      <c r="W66" s="8">
        <v>10</v>
      </c>
      <c r="X66" s="8">
        <v>10</v>
      </c>
      <c r="Y66" s="44">
        <f t="shared" si="13"/>
        <v>336129.03225806454</v>
      </c>
    </row>
    <row r="67" spans="1:25" ht="15" customHeight="1" x14ac:dyDescent="0.25">
      <c r="A67" s="8">
        <v>63</v>
      </c>
      <c r="B67" s="8" t="s">
        <v>138</v>
      </c>
      <c r="C67" s="8">
        <v>10</v>
      </c>
      <c r="D67" s="5"/>
      <c r="E67" s="27">
        <f t="shared" si="12"/>
        <v>0</v>
      </c>
      <c r="F67" s="27">
        <f t="shared" si="12"/>
        <v>0</v>
      </c>
      <c r="G67" s="27">
        <f t="shared" si="12"/>
        <v>0</v>
      </c>
      <c r="H67" s="27">
        <f t="shared" si="12"/>
        <v>0</v>
      </c>
      <c r="I67" s="27">
        <f t="shared" si="12"/>
        <v>0</v>
      </c>
      <c r="J67" s="27">
        <f t="shared" si="12"/>
        <v>0</v>
      </c>
      <c r="K67" s="27">
        <f t="shared" si="12"/>
        <v>0</v>
      </c>
      <c r="L67" s="27">
        <f t="shared" si="12"/>
        <v>0</v>
      </c>
      <c r="M67" s="47">
        <f t="shared" si="12"/>
        <v>87500</v>
      </c>
      <c r="N67" s="47">
        <f t="shared" si="12"/>
        <v>87500</v>
      </c>
      <c r="O67" s="47">
        <f t="shared" si="12"/>
        <v>87500</v>
      </c>
      <c r="P67" s="47">
        <f>P147+P226+R67</f>
        <v>144500</v>
      </c>
      <c r="Q67" s="28">
        <f>SUM(E67:L67,M67,N67,O67,P67)</f>
        <v>407000</v>
      </c>
      <c r="R67" s="42">
        <v>50000</v>
      </c>
      <c r="T67" s="50">
        <v>45901</v>
      </c>
      <c r="U67" s="51">
        <v>104200</v>
      </c>
      <c r="V67" s="8">
        <v>30</v>
      </c>
      <c r="W67" s="8">
        <v>8</v>
      </c>
      <c r="X67" s="8">
        <v>10</v>
      </c>
      <c r="Y67" s="44">
        <f t="shared" si="13"/>
        <v>277866.66666666669</v>
      </c>
    </row>
    <row r="68" spans="1:25" ht="15" customHeight="1" x14ac:dyDescent="0.25">
      <c r="A68" s="8">
        <v>64</v>
      </c>
      <c r="B68" s="16" t="s">
        <v>145</v>
      </c>
      <c r="C68" s="8">
        <v>10</v>
      </c>
      <c r="D68" s="56"/>
      <c r="E68" s="27">
        <f t="shared" si="12"/>
        <v>0</v>
      </c>
      <c r="F68" s="27">
        <f t="shared" si="12"/>
        <v>0</v>
      </c>
      <c r="G68" s="27">
        <f t="shared" si="12"/>
        <v>100000</v>
      </c>
      <c r="H68" s="27">
        <f t="shared" si="12"/>
        <v>100000</v>
      </c>
      <c r="I68" s="27">
        <f t="shared" si="12"/>
        <v>100000</v>
      </c>
      <c r="J68" s="27">
        <f t="shared" si="12"/>
        <v>100000</v>
      </c>
      <c r="K68" s="27">
        <f t="shared" si="12"/>
        <v>100000</v>
      </c>
      <c r="L68" s="27">
        <f t="shared" si="12"/>
        <v>100000</v>
      </c>
      <c r="M68" s="47">
        <f t="shared" si="12"/>
        <v>100000</v>
      </c>
      <c r="N68" s="47">
        <f t="shared" si="12"/>
        <v>100000</v>
      </c>
      <c r="O68" s="47">
        <f t="shared" si="12"/>
        <v>100000</v>
      </c>
      <c r="P68" s="47">
        <f>P148+P227+R68</f>
        <v>156825</v>
      </c>
      <c r="Q68" s="28">
        <f>SUM(E68:L68,M68,N68,O68,P68)</f>
        <v>1056825</v>
      </c>
      <c r="R68" s="42">
        <v>50000</v>
      </c>
      <c r="T68" s="50">
        <v>45931</v>
      </c>
      <c r="U68" s="51">
        <v>104200</v>
      </c>
      <c r="V68" s="8">
        <v>31</v>
      </c>
      <c r="W68" s="8">
        <v>8</v>
      </c>
      <c r="X68" s="8">
        <v>10</v>
      </c>
      <c r="Y68" s="44">
        <f t="shared" si="13"/>
        <v>268903.22580645164</v>
      </c>
    </row>
    <row r="69" spans="1:25" ht="15" customHeight="1" x14ac:dyDescent="0.25">
      <c r="A69" s="8">
        <v>65</v>
      </c>
      <c r="B69" s="9" t="s">
        <v>148</v>
      </c>
      <c r="C69" s="8">
        <v>8</v>
      </c>
      <c r="D69" s="5" t="s">
        <v>159</v>
      </c>
      <c r="E69" s="27">
        <f t="shared" si="12"/>
        <v>100000</v>
      </c>
      <c r="F69" s="27">
        <f t="shared" si="12"/>
        <v>209000</v>
      </c>
      <c r="G69" s="27">
        <f t="shared" si="12"/>
        <v>0</v>
      </c>
      <c r="H69" s="27">
        <f t="shared" si="12"/>
        <v>0</v>
      </c>
      <c r="I69" s="27">
        <f t="shared" si="12"/>
        <v>0</v>
      </c>
      <c r="J69" s="27">
        <f t="shared" si="12"/>
        <v>0</v>
      </c>
      <c r="K69" s="27">
        <f t="shared" si="12"/>
        <v>0</v>
      </c>
      <c r="L69" s="27">
        <f t="shared" si="12"/>
        <v>0</v>
      </c>
      <c r="M69" s="47">
        <f t="shared" si="12"/>
        <v>0</v>
      </c>
      <c r="N69" s="47">
        <f t="shared" si="12"/>
        <v>0</v>
      </c>
      <c r="O69" s="47">
        <f t="shared" si="12"/>
        <v>0</v>
      </c>
      <c r="P69" s="47">
        <f>P149+P228+R69</f>
        <v>0</v>
      </c>
      <c r="Q69" s="28">
        <f>SUM(E69:L69,M69,N69,O69,P69)</f>
        <v>309000</v>
      </c>
      <c r="R69" s="42"/>
      <c r="T69" s="50">
        <v>45962</v>
      </c>
      <c r="U69" s="51">
        <v>104200</v>
      </c>
      <c r="V69" s="8">
        <v>30</v>
      </c>
      <c r="W69" s="8">
        <v>11</v>
      </c>
      <c r="X69" s="8">
        <v>10</v>
      </c>
      <c r="Y69" s="44">
        <f t="shared" si="13"/>
        <v>382066.66666666674</v>
      </c>
    </row>
    <row r="70" spans="1:25" ht="15" customHeight="1" x14ac:dyDescent="0.25">
      <c r="A70" s="8">
        <v>66</v>
      </c>
      <c r="B70" s="9" t="s">
        <v>147</v>
      </c>
      <c r="C70" s="9">
        <v>8</v>
      </c>
      <c r="D70" s="5"/>
      <c r="E70" s="27">
        <f t="shared" ref="E70:O76" si="14">E150+E229</f>
        <v>0</v>
      </c>
      <c r="F70" s="27">
        <f t="shared" si="14"/>
        <v>0</v>
      </c>
      <c r="G70" s="27">
        <f t="shared" si="14"/>
        <v>70000</v>
      </c>
      <c r="H70" s="27">
        <f t="shared" si="14"/>
        <v>70000</v>
      </c>
      <c r="I70" s="27">
        <f t="shared" si="14"/>
        <v>70000</v>
      </c>
      <c r="J70" s="27">
        <f t="shared" si="14"/>
        <v>70000</v>
      </c>
      <c r="K70" s="27">
        <f t="shared" si="14"/>
        <v>70000</v>
      </c>
      <c r="L70" s="27">
        <f t="shared" si="14"/>
        <v>70000</v>
      </c>
      <c r="M70" s="47">
        <f t="shared" si="14"/>
        <v>70000</v>
      </c>
      <c r="N70" s="47">
        <f t="shared" si="14"/>
        <v>70000</v>
      </c>
      <c r="O70" s="47">
        <f t="shared" si="14"/>
        <v>70000</v>
      </c>
      <c r="P70" s="47">
        <f>P150+P229+R70</f>
        <v>127000</v>
      </c>
      <c r="Q70" s="28">
        <f>SUM(E70:L70,M70,N70,O70,P70)</f>
        <v>757000</v>
      </c>
      <c r="R70" s="42">
        <v>50000</v>
      </c>
      <c r="T70" s="50">
        <v>45992</v>
      </c>
      <c r="U70" s="51">
        <v>104200</v>
      </c>
      <c r="V70" s="8">
        <v>31</v>
      </c>
      <c r="W70" s="8">
        <v>9</v>
      </c>
      <c r="X70" s="8">
        <v>10</v>
      </c>
      <c r="Y70" s="44">
        <f t="shared" si="13"/>
        <v>302516.12903225806</v>
      </c>
    </row>
    <row r="71" spans="1:25" ht="15" customHeight="1" x14ac:dyDescent="0.25">
      <c r="A71" s="8">
        <v>67</v>
      </c>
      <c r="B71" s="9" t="s">
        <v>168</v>
      </c>
      <c r="C71" s="9">
        <v>8</v>
      </c>
      <c r="D71" s="5"/>
      <c r="E71" s="27">
        <f t="shared" si="14"/>
        <v>0</v>
      </c>
      <c r="F71" s="27">
        <f t="shared" si="14"/>
        <v>0</v>
      </c>
      <c r="G71" s="27">
        <f t="shared" si="14"/>
        <v>0</v>
      </c>
      <c r="H71" s="27">
        <f t="shared" si="14"/>
        <v>0</v>
      </c>
      <c r="I71" s="27">
        <f t="shared" si="14"/>
        <v>0</v>
      </c>
      <c r="J71" s="27">
        <f t="shared" si="14"/>
        <v>0</v>
      </c>
      <c r="K71" s="27">
        <f t="shared" si="14"/>
        <v>0</v>
      </c>
      <c r="L71" s="27">
        <f t="shared" si="14"/>
        <v>0</v>
      </c>
      <c r="M71" s="47">
        <f t="shared" si="14"/>
        <v>0</v>
      </c>
      <c r="N71" s="47">
        <f t="shared" si="14"/>
        <v>0</v>
      </c>
      <c r="O71" s="47">
        <f t="shared" si="14"/>
        <v>0</v>
      </c>
      <c r="P71" s="47">
        <f>P151+P230+R71</f>
        <v>0</v>
      </c>
      <c r="Q71" s="28">
        <f>SUM(E71:L71,M71,N71,O71,P71)</f>
        <v>0</v>
      </c>
      <c r="R71" s="42"/>
      <c r="Y71" s="44">
        <f>SUM(Y59:Y70)</f>
        <v>4016781.5668202769</v>
      </c>
    </row>
    <row r="72" spans="1:25" ht="15" customHeight="1" x14ac:dyDescent="0.25">
      <c r="A72" s="8">
        <v>68</v>
      </c>
      <c r="B72" s="9" t="s">
        <v>168</v>
      </c>
      <c r="C72" s="9">
        <v>8</v>
      </c>
      <c r="D72" s="5"/>
      <c r="E72" s="27">
        <f t="shared" si="14"/>
        <v>0</v>
      </c>
      <c r="F72" s="27">
        <f t="shared" si="14"/>
        <v>0</v>
      </c>
      <c r="G72" s="27">
        <f t="shared" si="14"/>
        <v>0</v>
      </c>
      <c r="H72" s="27">
        <f t="shared" si="14"/>
        <v>0</v>
      </c>
      <c r="I72" s="27">
        <f t="shared" si="14"/>
        <v>0</v>
      </c>
      <c r="J72" s="27">
        <f t="shared" si="14"/>
        <v>0</v>
      </c>
      <c r="K72" s="27">
        <f t="shared" si="14"/>
        <v>0</v>
      </c>
      <c r="L72" s="27">
        <f t="shared" si="14"/>
        <v>0</v>
      </c>
      <c r="M72" s="47">
        <f t="shared" si="14"/>
        <v>0</v>
      </c>
      <c r="N72" s="47">
        <f t="shared" si="14"/>
        <v>0</v>
      </c>
      <c r="O72" s="47">
        <f t="shared" si="14"/>
        <v>0</v>
      </c>
      <c r="P72" s="47">
        <f>P152+P231+R72</f>
        <v>0</v>
      </c>
      <c r="Q72" s="28">
        <f>SUM(E72:L72,M72,N72,O72,P72)</f>
        <v>0</v>
      </c>
      <c r="R72" s="42"/>
      <c r="Y72" s="41"/>
    </row>
    <row r="73" spans="1:25" ht="15" customHeight="1" x14ac:dyDescent="0.25">
      <c r="A73" s="8">
        <v>69</v>
      </c>
      <c r="B73" s="9" t="s">
        <v>168</v>
      </c>
      <c r="C73" s="9">
        <v>8</v>
      </c>
      <c r="D73" s="5"/>
      <c r="E73" s="27">
        <f t="shared" si="14"/>
        <v>0</v>
      </c>
      <c r="F73" s="27">
        <f t="shared" si="14"/>
        <v>0</v>
      </c>
      <c r="G73" s="27">
        <f t="shared" si="14"/>
        <v>0</v>
      </c>
      <c r="H73" s="27">
        <f t="shared" si="14"/>
        <v>0</v>
      </c>
      <c r="I73" s="27">
        <f t="shared" si="14"/>
        <v>0</v>
      </c>
      <c r="J73" s="27">
        <f t="shared" si="14"/>
        <v>0</v>
      </c>
      <c r="K73" s="27">
        <f t="shared" si="14"/>
        <v>0</v>
      </c>
      <c r="L73" s="27">
        <f t="shared" si="14"/>
        <v>0</v>
      </c>
      <c r="M73" s="47">
        <f t="shared" si="14"/>
        <v>0</v>
      </c>
      <c r="N73" s="47">
        <f t="shared" si="14"/>
        <v>0</v>
      </c>
      <c r="O73" s="47">
        <f t="shared" si="14"/>
        <v>0</v>
      </c>
      <c r="P73" s="47">
        <f>P153+P232+R73</f>
        <v>0</v>
      </c>
      <c r="Q73" s="28">
        <f>SUM(E73:L73,M73,N73,O73,P73)</f>
        <v>0</v>
      </c>
      <c r="R73" s="42"/>
      <c r="Y73" s="41"/>
    </row>
    <row r="74" spans="1:25" ht="15" customHeight="1" x14ac:dyDescent="0.25">
      <c r="A74" s="8">
        <v>70</v>
      </c>
      <c r="B74" s="9" t="s">
        <v>170</v>
      </c>
      <c r="C74" s="9">
        <v>8</v>
      </c>
      <c r="D74" s="5"/>
      <c r="E74" s="27">
        <f t="shared" si="14"/>
        <v>0</v>
      </c>
      <c r="F74" s="27">
        <f t="shared" si="14"/>
        <v>0</v>
      </c>
      <c r="G74" s="27">
        <f t="shared" si="14"/>
        <v>0</v>
      </c>
      <c r="H74" s="27">
        <f t="shared" si="14"/>
        <v>0</v>
      </c>
      <c r="I74" s="27">
        <f t="shared" si="14"/>
        <v>0</v>
      </c>
      <c r="J74" s="27">
        <f t="shared" si="14"/>
        <v>0</v>
      </c>
      <c r="K74" s="27">
        <f t="shared" si="14"/>
        <v>0</v>
      </c>
      <c r="L74" s="27">
        <f t="shared" si="14"/>
        <v>0</v>
      </c>
      <c r="M74" s="47">
        <f t="shared" si="14"/>
        <v>0</v>
      </c>
      <c r="N74" s="47">
        <f t="shared" si="14"/>
        <v>0</v>
      </c>
      <c r="O74" s="47">
        <f t="shared" si="14"/>
        <v>0</v>
      </c>
      <c r="P74" s="47">
        <f>P154+P233+R74</f>
        <v>0</v>
      </c>
      <c r="Q74" s="28">
        <f>SUM(E74:L74,M74,N74,O74,P74)</f>
        <v>0</v>
      </c>
      <c r="R74" s="42"/>
      <c r="Y74" s="41"/>
    </row>
    <row r="75" spans="1:25" ht="15" customHeight="1" x14ac:dyDescent="0.25">
      <c r="A75" s="8">
        <v>71</v>
      </c>
      <c r="B75" s="16" t="s">
        <v>146</v>
      </c>
      <c r="C75" s="8">
        <v>10</v>
      </c>
      <c r="D75" s="5" t="s">
        <v>157</v>
      </c>
      <c r="E75" s="27">
        <f t="shared" si="14"/>
        <v>94000</v>
      </c>
      <c r="F75" s="27">
        <f t="shared" si="14"/>
        <v>200000</v>
      </c>
      <c r="G75" s="27">
        <f t="shared" si="14"/>
        <v>0</v>
      </c>
      <c r="H75" s="27">
        <f t="shared" si="14"/>
        <v>0</v>
      </c>
      <c r="I75" s="27">
        <f t="shared" si="14"/>
        <v>0</v>
      </c>
      <c r="J75" s="27">
        <f t="shared" si="14"/>
        <v>0</v>
      </c>
      <c r="K75" s="27">
        <f t="shared" si="14"/>
        <v>0</v>
      </c>
      <c r="L75" s="27">
        <f t="shared" si="14"/>
        <v>0</v>
      </c>
      <c r="M75" s="47">
        <f t="shared" si="14"/>
        <v>0</v>
      </c>
      <c r="N75" s="47">
        <f t="shared" si="14"/>
        <v>0</v>
      </c>
      <c r="O75" s="47">
        <f t="shared" si="14"/>
        <v>0</v>
      </c>
      <c r="P75" s="47">
        <f>P155+P234+R75</f>
        <v>0</v>
      </c>
      <c r="Q75" s="28">
        <f>SUM(E75:L75,M75,N75,O75,P75)</f>
        <v>294000</v>
      </c>
      <c r="R75" s="42"/>
      <c r="Y75" s="41"/>
    </row>
    <row r="76" spans="1:25" ht="15" customHeight="1" x14ac:dyDescent="0.25">
      <c r="A76" s="8">
        <v>72</v>
      </c>
      <c r="B76" s="16" t="s">
        <v>146</v>
      </c>
      <c r="C76" s="9">
        <v>10</v>
      </c>
      <c r="D76" s="5" t="s">
        <v>158</v>
      </c>
      <c r="E76" s="27">
        <f t="shared" si="14"/>
        <v>94000</v>
      </c>
      <c r="F76" s="27">
        <f t="shared" si="14"/>
        <v>228000</v>
      </c>
      <c r="G76" s="27">
        <f t="shared" si="14"/>
        <v>0</v>
      </c>
      <c r="H76" s="27">
        <f t="shared" si="14"/>
        <v>0</v>
      </c>
      <c r="I76" s="27">
        <f t="shared" si="14"/>
        <v>0</v>
      </c>
      <c r="J76" s="27">
        <f t="shared" si="14"/>
        <v>0</v>
      </c>
      <c r="K76" s="27">
        <f t="shared" si="14"/>
        <v>0</v>
      </c>
      <c r="L76" s="27">
        <f t="shared" si="14"/>
        <v>0</v>
      </c>
      <c r="M76" s="47">
        <f t="shared" si="14"/>
        <v>0</v>
      </c>
      <c r="N76" s="47">
        <f t="shared" si="14"/>
        <v>0</v>
      </c>
      <c r="O76" s="47">
        <f t="shared" si="14"/>
        <v>0</v>
      </c>
      <c r="P76" s="47">
        <f>P156+P235+R76</f>
        <v>0</v>
      </c>
      <c r="Q76" s="28">
        <f>SUM(E76:L76,M76,N76,O76,P76)</f>
        <v>322000</v>
      </c>
      <c r="R76" s="42"/>
      <c r="Y76" s="41"/>
    </row>
    <row r="77" spans="1:25" ht="15" customHeight="1" x14ac:dyDescent="0.25">
      <c r="A77" s="8">
        <v>73</v>
      </c>
      <c r="B77" s="8" t="s">
        <v>194</v>
      </c>
      <c r="C77" s="9"/>
      <c r="D77" s="5"/>
      <c r="E77" s="27"/>
      <c r="F77" s="27"/>
      <c r="G77" s="27">
        <f>Y61</f>
        <v>336451.61290322582</v>
      </c>
      <c r="H77" s="27">
        <f>Y62</f>
        <v>278133.33333333331</v>
      </c>
      <c r="I77" s="27">
        <f>Y63</f>
        <v>439064.51612903224</v>
      </c>
      <c r="J77" s="27">
        <f>Y64</f>
        <v>385733.33333333326</v>
      </c>
      <c r="K77" s="27">
        <f>Y65</f>
        <v>268903.22580645164</v>
      </c>
      <c r="L77" s="27">
        <f>Y66</f>
        <v>336129.03225806454</v>
      </c>
      <c r="M77" s="47">
        <f>Y67</f>
        <v>277866.66666666669</v>
      </c>
      <c r="N77" s="47">
        <f>Y68</f>
        <v>268903.22580645164</v>
      </c>
      <c r="O77" s="47">
        <f>Y69</f>
        <v>382066.66666666674</v>
      </c>
      <c r="P77" s="47">
        <f>Y70</f>
        <v>302516.12903225806</v>
      </c>
      <c r="Q77" s="28">
        <f>SUM(E77:L77,M77,N77,O77,P77)</f>
        <v>3275767.7419354841</v>
      </c>
      <c r="R77" s="42"/>
      <c r="Y77" s="41"/>
    </row>
    <row r="78" spans="1:25" x14ac:dyDescent="0.25">
      <c r="D78" s="53" t="s">
        <v>15</v>
      </c>
      <c r="E78" s="73">
        <f>SUM(E5:E77)</f>
        <v>4623100</v>
      </c>
      <c r="F78" s="73">
        <f t="shared" ref="F78:O78" si="15">SUM(F5:F77)</f>
        <v>8297100</v>
      </c>
      <c r="G78" s="73">
        <f>SUM(G5:G77)</f>
        <v>6589720.8629032262</v>
      </c>
      <c r="H78" s="73">
        <f t="shared" si="15"/>
        <v>6531402.583333333</v>
      </c>
      <c r="I78" s="73">
        <f t="shared" si="15"/>
        <v>6722333.7661290318</v>
      </c>
      <c r="J78" s="73">
        <f t="shared" si="15"/>
        <v>6699002.583333333</v>
      </c>
      <c r="K78" s="73">
        <f t="shared" si="15"/>
        <v>6582172.4758064514</v>
      </c>
      <c r="L78" s="73">
        <f t="shared" si="15"/>
        <v>6649398.2822580645</v>
      </c>
      <c r="M78" s="73">
        <f t="shared" si="15"/>
        <v>7122385.916666667</v>
      </c>
      <c r="N78" s="73">
        <f t="shared" si="15"/>
        <v>7113422.4758064514</v>
      </c>
      <c r="O78" s="73">
        <f t="shared" si="15"/>
        <v>7226585.916666667</v>
      </c>
      <c r="P78" s="73">
        <f>SUM(P5:P77)</f>
        <v>11015260.379032258</v>
      </c>
      <c r="Q78" s="54">
        <f>SUM(E78:L78,M78,N78,O78,P78)+G79</f>
        <v>86144340.331755832</v>
      </c>
      <c r="R78" s="61">
        <f>SUM(R5:R77)</f>
        <v>3400000</v>
      </c>
      <c r="S78" s="46"/>
    </row>
    <row r="79" spans="1:25" x14ac:dyDescent="0.25">
      <c r="E79" s="74"/>
      <c r="F79" s="74"/>
      <c r="G79" s="74">
        <v>972455.0898203589</v>
      </c>
      <c r="H79" s="74"/>
      <c r="I79" s="74"/>
      <c r="J79" s="74"/>
      <c r="K79" s="74"/>
      <c r="L79" s="74"/>
      <c r="M79" s="74"/>
      <c r="N79" s="74"/>
      <c r="O79" s="74"/>
      <c r="P79" s="74"/>
    </row>
    <row r="80" spans="1:25" x14ac:dyDescent="0.25"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</row>
    <row r="83" spans="1:17" x14ac:dyDescent="0.25">
      <c r="B83" s="65" t="s">
        <v>16</v>
      </c>
      <c r="C83" s="65" t="s">
        <v>153</v>
      </c>
      <c r="D83" s="67" t="s">
        <v>1</v>
      </c>
      <c r="E83" s="68" t="s">
        <v>69</v>
      </c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0"/>
      <c r="Q83" s="71" t="s">
        <v>187</v>
      </c>
    </row>
    <row r="84" spans="1:17" x14ac:dyDescent="0.25">
      <c r="B84" s="66"/>
      <c r="C84" s="66"/>
      <c r="D84" s="67"/>
      <c r="E84" s="3" t="s">
        <v>4</v>
      </c>
      <c r="F84" s="3" t="s">
        <v>5</v>
      </c>
      <c r="G84" s="3" t="s">
        <v>6</v>
      </c>
      <c r="H84" s="3" t="s">
        <v>7</v>
      </c>
      <c r="I84" s="3" t="s">
        <v>8</v>
      </c>
      <c r="J84" s="3" t="s">
        <v>9</v>
      </c>
      <c r="K84" s="3" t="s">
        <v>10</v>
      </c>
      <c r="L84" s="3" t="s">
        <v>11</v>
      </c>
      <c r="M84" s="3" t="s">
        <v>183</v>
      </c>
      <c r="N84" s="3" t="s">
        <v>184</v>
      </c>
      <c r="O84" s="3" t="s">
        <v>185</v>
      </c>
      <c r="P84" s="3" t="s">
        <v>195</v>
      </c>
      <c r="Q84" s="72"/>
    </row>
    <row r="85" spans="1:17" x14ac:dyDescent="0.25">
      <c r="A85">
        <v>1</v>
      </c>
      <c r="B85" s="16" t="s">
        <v>146</v>
      </c>
      <c r="C85" s="8">
        <v>12</v>
      </c>
      <c r="D85" s="9" t="s">
        <v>41</v>
      </c>
      <c r="E85" s="27">
        <f>$V$5</f>
        <v>68250</v>
      </c>
      <c r="F85" s="27">
        <f>$V$5</f>
        <v>68250</v>
      </c>
      <c r="G85" s="27">
        <f>$V$5</f>
        <v>68250</v>
      </c>
      <c r="H85" s="27">
        <f>$V$5</f>
        <v>68250</v>
      </c>
      <c r="I85" s="27">
        <f>$V$5</f>
        <v>68250</v>
      </c>
      <c r="J85" s="27">
        <f>$V$5</f>
        <v>68250</v>
      </c>
      <c r="K85" s="27">
        <f>$V$5</f>
        <v>68250</v>
      </c>
      <c r="L85" s="27">
        <f>$V$5</f>
        <v>68250</v>
      </c>
      <c r="M85" s="47">
        <f>$V$5</f>
        <v>68250</v>
      </c>
      <c r="N85" s="47">
        <f>$V$5</f>
        <v>68250</v>
      </c>
      <c r="O85" s="47">
        <f>$V$5</f>
        <v>68250</v>
      </c>
      <c r="P85" s="47">
        <f>$V$5*1.1</f>
        <v>75075</v>
      </c>
      <c r="Q85" s="28">
        <f>SUM(E85:L85,M85,N85,O85,P85)</f>
        <v>825825</v>
      </c>
    </row>
    <row r="86" spans="1:17" x14ac:dyDescent="0.25">
      <c r="A86">
        <v>2</v>
      </c>
      <c r="B86" s="14" t="s">
        <v>65</v>
      </c>
      <c r="C86" s="8">
        <v>12</v>
      </c>
      <c r="D86" s="9" t="s">
        <v>17</v>
      </c>
      <c r="E86" s="27">
        <f>$V$7</f>
        <v>68250</v>
      </c>
      <c r="F86" s="27">
        <f>$V$7</f>
        <v>68250</v>
      </c>
      <c r="G86" s="27">
        <f>$V$7</f>
        <v>68250</v>
      </c>
      <c r="H86" s="27">
        <f>$V$7</f>
        <v>68250</v>
      </c>
      <c r="I86" s="27">
        <f>$V$7</f>
        <v>68250</v>
      </c>
      <c r="J86" s="27">
        <f>$V$7</f>
        <v>68250</v>
      </c>
      <c r="K86" s="27">
        <f>$V$7</f>
        <v>68250</v>
      </c>
      <c r="L86" s="27">
        <f>$V$7</f>
        <v>68250</v>
      </c>
      <c r="M86" s="47">
        <f>$V$7</f>
        <v>68250</v>
      </c>
      <c r="N86" s="47">
        <f>$V$7</f>
        <v>68250</v>
      </c>
      <c r="O86" s="47">
        <f>$V$7</f>
        <v>68250</v>
      </c>
      <c r="P86" s="47">
        <f>$V$7*1.1</f>
        <v>75075</v>
      </c>
      <c r="Q86" s="28">
        <f>SUM(E86:L86,M86,N86,O86,P86)</f>
        <v>825825</v>
      </c>
    </row>
    <row r="87" spans="1:17" x14ac:dyDescent="0.25">
      <c r="A87">
        <v>3</v>
      </c>
      <c r="B87" s="16" t="s">
        <v>146</v>
      </c>
      <c r="C87" s="8">
        <v>10</v>
      </c>
      <c r="D87" s="9" t="s">
        <v>18</v>
      </c>
      <c r="E87" s="27">
        <f>$V$5</f>
        <v>68250</v>
      </c>
      <c r="F87" s="27">
        <f>$V$5</f>
        <v>68250</v>
      </c>
      <c r="G87" s="27">
        <f>$V$5</f>
        <v>68250</v>
      </c>
      <c r="H87" s="27">
        <f>$V$5</f>
        <v>68250</v>
      </c>
      <c r="I87" s="27">
        <f>$V$5</f>
        <v>68250</v>
      </c>
      <c r="J87" s="27">
        <f>$V$5</f>
        <v>68250</v>
      </c>
      <c r="K87" s="27">
        <f>$V$5</f>
        <v>68250</v>
      </c>
      <c r="L87" s="27">
        <f>$V$5</f>
        <v>68250</v>
      </c>
      <c r="M87" s="47">
        <f>$V$5</f>
        <v>68250</v>
      </c>
      <c r="N87" s="47">
        <f>$V$5</f>
        <v>68250</v>
      </c>
      <c r="O87" s="47">
        <f>$V$5</f>
        <v>68250</v>
      </c>
      <c r="P87" s="47">
        <f>$V$5*1.1</f>
        <v>75075</v>
      </c>
      <c r="Q87" s="28">
        <f>SUM(E87:L87,M87,N87,O87,P87)</f>
        <v>825825</v>
      </c>
    </row>
    <row r="88" spans="1:17" x14ac:dyDescent="0.25">
      <c r="A88">
        <v>4</v>
      </c>
      <c r="B88" s="16" t="s">
        <v>146</v>
      </c>
      <c r="C88" s="8">
        <v>12</v>
      </c>
      <c r="D88" s="9" t="s">
        <v>42</v>
      </c>
      <c r="E88" s="27">
        <f>$V$5</f>
        <v>68250</v>
      </c>
      <c r="F88" s="27">
        <f>$V$5</f>
        <v>68250</v>
      </c>
      <c r="G88" s="27">
        <f>$V$5</f>
        <v>68250</v>
      </c>
      <c r="H88" s="27">
        <f>$V$5</f>
        <v>68250</v>
      </c>
      <c r="I88" s="27">
        <f>$V$5</f>
        <v>68250</v>
      </c>
      <c r="J88" s="27">
        <f>$V$5</f>
        <v>68250</v>
      </c>
      <c r="K88" s="27">
        <f>$V$5</f>
        <v>68250</v>
      </c>
      <c r="L88" s="27">
        <f>$V$5</f>
        <v>68250</v>
      </c>
      <c r="M88" s="47">
        <f>$V$5</f>
        <v>68250</v>
      </c>
      <c r="N88" s="47">
        <f>$V$5</f>
        <v>68250</v>
      </c>
      <c r="O88" s="47">
        <f>$V$5</f>
        <v>68250</v>
      </c>
      <c r="P88" s="47">
        <f>$V$5*1.1</f>
        <v>75075</v>
      </c>
      <c r="Q88" s="28">
        <f>SUM(E88:L88,M88,N88,O88,P88)</f>
        <v>825825</v>
      </c>
    </row>
    <row r="89" spans="1:17" x14ac:dyDescent="0.25">
      <c r="A89">
        <v>5</v>
      </c>
      <c r="B89" s="14" t="s">
        <v>63</v>
      </c>
      <c r="C89" s="8">
        <v>10</v>
      </c>
      <c r="D89" s="10" t="s">
        <v>43</v>
      </c>
      <c r="E89" s="27">
        <f>$V$8</f>
        <v>68250</v>
      </c>
      <c r="F89" s="27">
        <f>$V$8</f>
        <v>68250</v>
      </c>
      <c r="G89" s="27">
        <f>$V$8</f>
        <v>68250</v>
      </c>
      <c r="H89" s="27">
        <f>$V$8</f>
        <v>68250</v>
      </c>
      <c r="I89" s="27">
        <f>$V$8</f>
        <v>68250</v>
      </c>
      <c r="J89" s="27">
        <f>$V$8</f>
        <v>68250</v>
      </c>
      <c r="K89" s="27">
        <f>$V$8</f>
        <v>68250</v>
      </c>
      <c r="L89" s="27">
        <f>$V$8</f>
        <v>68250</v>
      </c>
      <c r="M89" s="47">
        <f>$V$8</f>
        <v>68250</v>
      </c>
      <c r="N89" s="47">
        <f>$V$8</f>
        <v>68250</v>
      </c>
      <c r="O89" s="47">
        <f>$V$8</f>
        <v>68250</v>
      </c>
      <c r="P89" s="47">
        <f>$V$8*1.1</f>
        <v>75075</v>
      </c>
      <c r="Q89" s="28">
        <f>SUM(E89:L89,M89,N89,O89,P89)</f>
        <v>825825</v>
      </c>
    </row>
    <row r="90" spans="1:17" x14ac:dyDescent="0.25">
      <c r="A90">
        <v>6</v>
      </c>
      <c r="B90" s="16" t="s">
        <v>146</v>
      </c>
      <c r="C90" s="8">
        <v>10</v>
      </c>
      <c r="D90" s="9" t="s">
        <v>19</v>
      </c>
      <c r="E90" s="27">
        <f>$V$5</f>
        <v>68250</v>
      </c>
      <c r="F90" s="27">
        <f>$V$5</f>
        <v>68250</v>
      </c>
      <c r="G90" s="27">
        <f>$V$5</f>
        <v>68250</v>
      </c>
      <c r="H90" s="27">
        <f>$V$5</f>
        <v>68250</v>
      </c>
      <c r="I90" s="27">
        <f>$V$5</f>
        <v>68250</v>
      </c>
      <c r="J90" s="27">
        <f>$V$5</f>
        <v>68250</v>
      </c>
      <c r="K90" s="27">
        <f>$V$5</f>
        <v>68250</v>
      </c>
      <c r="L90" s="27">
        <f>$V$5</f>
        <v>68250</v>
      </c>
      <c r="M90" s="47">
        <f>$V$5</f>
        <v>68250</v>
      </c>
      <c r="N90" s="47">
        <f>$V$5</f>
        <v>68250</v>
      </c>
      <c r="O90" s="47">
        <f>$V$5</f>
        <v>68250</v>
      </c>
      <c r="P90" s="47">
        <f>$V$5*1.1</f>
        <v>75075</v>
      </c>
      <c r="Q90" s="28">
        <f>SUM(E90:L90,M90,N90,O90,P90)</f>
        <v>825825</v>
      </c>
    </row>
    <row r="91" spans="1:17" x14ac:dyDescent="0.25">
      <c r="A91">
        <v>7</v>
      </c>
      <c r="B91" s="15" t="s">
        <v>67</v>
      </c>
      <c r="C91" s="8">
        <v>8</v>
      </c>
      <c r="D91" s="10" t="s">
        <v>44</v>
      </c>
      <c r="E91" s="27">
        <f>$V$13</f>
        <v>68250</v>
      </c>
      <c r="F91" s="27">
        <f>$V$13</f>
        <v>68250</v>
      </c>
      <c r="G91" s="27">
        <f>$V$13</f>
        <v>68250</v>
      </c>
      <c r="H91" s="27">
        <f>$V$13</f>
        <v>68250</v>
      </c>
      <c r="I91" s="27">
        <f>$V$13</f>
        <v>68250</v>
      </c>
      <c r="J91" s="27">
        <f>$V$13</f>
        <v>68250</v>
      </c>
      <c r="K91" s="27">
        <f>$V$13</f>
        <v>68250</v>
      </c>
      <c r="L91" s="27">
        <f>$V$13</f>
        <v>68250</v>
      </c>
      <c r="M91" s="47">
        <f>$V$13</f>
        <v>68250</v>
      </c>
      <c r="N91" s="47">
        <f>$V$13</f>
        <v>68250</v>
      </c>
      <c r="O91" s="47">
        <f>$V$13</f>
        <v>68250</v>
      </c>
      <c r="P91" s="47">
        <f>$V$13*1.1</f>
        <v>75075</v>
      </c>
      <c r="Q91" s="28">
        <f>SUM(E91:L91,M91,N91,O91,P91)</f>
        <v>825825</v>
      </c>
    </row>
    <row r="92" spans="1:17" x14ac:dyDescent="0.25">
      <c r="A92">
        <v>8</v>
      </c>
      <c r="B92" s="14" t="s">
        <v>64</v>
      </c>
      <c r="C92" s="8">
        <v>12</v>
      </c>
      <c r="D92" s="11" t="s">
        <v>20</v>
      </c>
      <c r="E92" s="27">
        <f>$V$9</f>
        <v>68250</v>
      </c>
      <c r="F92" s="27">
        <f>$V$9</f>
        <v>68250</v>
      </c>
      <c r="G92" s="27">
        <f>$V$9</f>
        <v>68250</v>
      </c>
      <c r="H92" s="27">
        <f>$V$9</f>
        <v>68250</v>
      </c>
      <c r="I92" s="27">
        <f>$V$9</f>
        <v>68250</v>
      </c>
      <c r="J92" s="27">
        <f>$V$9</f>
        <v>68250</v>
      </c>
      <c r="K92" s="27">
        <f>$V$9</f>
        <v>68250</v>
      </c>
      <c r="L92" s="27">
        <f>$V$9</f>
        <v>68250</v>
      </c>
      <c r="M92" s="47">
        <f>$V$9</f>
        <v>68250</v>
      </c>
      <c r="N92" s="47">
        <f>$V$9</f>
        <v>68250</v>
      </c>
      <c r="O92" s="47">
        <f>$V$9</f>
        <v>68250</v>
      </c>
      <c r="P92" s="47">
        <f>$V$9*1.1</f>
        <v>75075</v>
      </c>
      <c r="Q92" s="28">
        <f>SUM(E92:L92,M92,N92,O92,P92)</f>
        <v>825825</v>
      </c>
    </row>
    <row r="93" spans="1:17" x14ac:dyDescent="0.25">
      <c r="A93">
        <v>9</v>
      </c>
      <c r="B93" s="16" t="s">
        <v>146</v>
      </c>
      <c r="C93" s="8">
        <v>12</v>
      </c>
      <c r="D93" s="11" t="s">
        <v>45</v>
      </c>
      <c r="E93" s="27">
        <f>$V$5</f>
        <v>68250</v>
      </c>
      <c r="F93" s="27">
        <f>$V$5</f>
        <v>68250</v>
      </c>
      <c r="G93" s="27">
        <f>$V$5</f>
        <v>68250</v>
      </c>
      <c r="H93" s="27">
        <f>$V$5</f>
        <v>68250</v>
      </c>
      <c r="I93" s="27">
        <f>$V$5</f>
        <v>68250</v>
      </c>
      <c r="J93" s="27">
        <f>$V$5</f>
        <v>68250</v>
      </c>
      <c r="K93" s="27">
        <f>$V$5</f>
        <v>68250</v>
      </c>
      <c r="L93" s="27">
        <f>$V$5</f>
        <v>68250</v>
      </c>
      <c r="M93" s="47">
        <f>$V$5</f>
        <v>68250</v>
      </c>
      <c r="N93" s="47">
        <f>$V$5</f>
        <v>68250</v>
      </c>
      <c r="O93" s="47">
        <f>$V$5</f>
        <v>68250</v>
      </c>
      <c r="P93" s="47">
        <f>$V$5*1.1</f>
        <v>75075</v>
      </c>
      <c r="Q93" s="28">
        <f>SUM(E93:L93,M93,N93,O93,P93)</f>
        <v>825825</v>
      </c>
    </row>
    <row r="94" spans="1:17" x14ac:dyDescent="0.25">
      <c r="A94">
        <v>10</v>
      </c>
      <c r="B94" s="15" t="s">
        <v>60</v>
      </c>
      <c r="C94" s="8">
        <v>10</v>
      </c>
      <c r="D94" s="9" t="s">
        <v>21</v>
      </c>
      <c r="E94" s="27">
        <f>$V$16</f>
        <v>68250</v>
      </c>
      <c r="F94" s="27">
        <f>$V$16</f>
        <v>68250</v>
      </c>
      <c r="G94" s="27">
        <f>$V$16</f>
        <v>68250</v>
      </c>
      <c r="H94" s="27">
        <f>$V$16</f>
        <v>68250</v>
      </c>
      <c r="I94" s="27">
        <f>$V$16</f>
        <v>68250</v>
      </c>
      <c r="J94" s="27">
        <f>$V$16</f>
        <v>68250</v>
      </c>
      <c r="K94" s="27">
        <f>$V$16</f>
        <v>68250</v>
      </c>
      <c r="L94" s="27">
        <f>$V$16</f>
        <v>68250</v>
      </c>
      <c r="M94" s="47">
        <f>$V$16</f>
        <v>68250</v>
      </c>
      <c r="N94" s="47">
        <f>$V$16</f>
        <v>68250</v>
      </c>
      <c r="O94" s="47">
        <f>$V$16</f>
        <v>68250</v>
      </c>
      <c r="P94" s="47">
        <f>$V$16*1.1</f>
        <v>75075</v>
      </c>
      <c r="Q94" s="28">
        <f>SUM(E94:L94,M94,N94,O94,P94)</f>
        <v>825825</v>
      </c>
    </row>
    <row r="95" spans="1:17" x14ac:dyDescent="0.25">
      <c r="A95">
        <v>11</v>
      </c>
      <c r="B95" s="25" t="s">
        <v>155</v>
      </c>
      <c r="C95" s="8">
        <v>8</v>
      </c>
      <c r="D95" s="9" t="s">
        <v>142</v>
      </c>
      <c r="E95" s="27">
        <f>$V$22</f>
        <v>150000</v>
      </c>
      <c r="F95" s="27">
        <f>$V$22</f>
        <v>150000</v>
      </c>
      <c r="G95" s="27">
        <f>$V$22</f>
        <v>150000</v>
      </c>
      <c r="H95" s="27">
        <f>$V$22</f>
        <v>150000</v>
      </c>
      <c r="I95" s="27">
        <f>$V$22</f>
        <v>150000</v>
      </c>
      <c r="J95" s="27">
        <f>$V$22</f>
        <v>150000</v>
      </c>
      <c r="K95" s="27">
        <f>$V$22</f>
        <v>150000</v>
      </c>
      <c r="L95" s="27">
        <f>$V$22</f>
        <v>150000</v>
      </c>
      <c r="M95" s="47">
        <f>$V$22</f>
        <v>150000</v>
      </c>
      <c r="N95" s="47">
        <f>$V$22</f>
        <v>150000</v>
      </c>
      <c r="O95" s="47">
        <f>$V$22</f>
        <v>150000</v>
      </c>
      <c r="P95" s="47">
        <f>$V$22*1.1</f>
        <v>165000</v>
      </c>
      <c r="Q95" s="28">
        <f>SUM(E95:L95,M95,N95,O95,P95)</f>
        <v>1815000</v>
      </c>
    </row>
    <row r="96" spans="1:17" x14ac:dyDescent="0.25">
      <c r="A96">
        <v>12</v>
      </c>
      <c r="B96" s="15" t="s">
        <v>67</v>
      </c>
      <c r="C96" s="8">
        <v>10</v>
      </c>
      <c r="D96" s="9" t="s">
        <v>46</v>
      </c>
      <c r="E96" s="27">
        <f>$V$13</f>
        <v>68250</v>
      </c>
      <c r="F96" s="27">
        <f>$V$13</f>
        <v>68250</v>
      </c>
      <c r="G96" s="27">
        <f>$V$13</f>
        <v>68250</v>
      </c>
      <c r="H96" s="27">
        <f>$V$13</f>
        <v>68250</v>
      </c>
      <c r="I96" s="27">
        <f>$V$13</f>
        <v>68250</v>
      </c>
      <c r="J96" s="27">
        <f>$V$13</f>
        <v>68250</v>
      </c>
      <c r="K96" s="27">
        <f>$V$13</f>
        <v>68250</v>
      </c>
      <c r="L96" s="27">
        <f>$V$13</f>
        <v>68250</v>
      </c>
      <c r="M96" s="47">
        <f>$V$13</f>
        <v>68250</v>
      </c>
      <c r="N96" s="47">
        <f>$V$13</f>
        <v>68250</v>
      </c>
      <c r="O96" s="47">
        <f>$V$13</f>
        <v>68250</v>
      </c>
      <c r="P96" s="47">
        <f>$V$13*1.1</f>
        <v>75075</v>
      </c>
      <c r="Q96" s="28">
        <f>SUM(E96:L96,M96,N96,O96,P96)</f>
        <v>825825</v>
      </c>
    </row>
    <row r="97" spans="1:17" x14ac:dyDescent="0.25">
      <c r="A97">
        <v>13</v>
      </c>
      <c r="B97" s="16" t="s">
        <v>146</v>
      </c>
      <c r="C97" s="8">
        <v>10</v>
      </c>
      <c r="D97" s="11" t="s">
        <v>47</v>
      </c>
      <c r="E97" s="27">
        <f>$V$5</f>
        <v>68250</v>
      </c>
      <c r="F97" s="27">
        <f>$V$5</f>
        <v>68250</v>
      </c>
      <c r="G97" s="27">
        <f>$V$5</f>
        <v>68250</v>
      </c>
      <c r="H97" s="27">
        <f>$V$5</f>
        <v>68250</v>
      </c>
      <c r="I97" s="27">
        <f>$V$5</f>
        <v>68250</v>
      </c>
      <c r="J97" s="27">
        <f>$V$5</f>
        <v>68250</v>
      </c>
      <c r="K97" s="27">
        <f>$V$5</f>
        <v>68250</v>
      </c>
      <c r="L97" s="27">
        <f>$V$5</f>
        <v>68250</v>
      </c>
      <c r="M97" s="47">
        <f>$V$5</f>
        <v>68250</v>
      </c>
      <c r="N97" s="47">
        <f>$V$5</f>
        <v>68250</v>
      </c>
      <c r="O97" s="47">
        <f>$V$5</f>
        <v>68250</v>
      </c>
      <c r="P97" s="47">
        <f>$V$5*1.1</f>
        <v>75075</v>
      </c>
      <c r="Q97" s="28">
        <f>SUM(E97:L97,M97,N97,O97,P97)</f>
        <v>825825</v>
      </c>
    </row>
    <row r="98" spans="1:17" x14ac:dyDescent="0.25">
      <c r="A98">
        <v>14</v>
      </c>
      <c r="B98" s="14" t="s">
        <v>65</v>
      </c>
      <c r="C98" s="8">
        <v>10</v>
      </c>
      <c r="D98" s="11" t="s">
        <v>48</v>
      </c>
      <c r="E98" s="27">
        <f>$V$7</f>
        <v>68250</v>
      </c>
      <c r="F98" s="27">
        <f>$V$7</f>
        <v>68250</v>
      </c>
      <c r="G98" s="27">
        <f>$V$7</f>
        <v>68250</v>
      </c>
      <c r="H98" s="27">
        <f>$V$7</f>
        <v>68250</v>
      </c>
      <c r="I98" s="27">
        <f>$V$7</f>
        <v>68250</v>
      </c>
      <c r="J98" s="27">
        <f>$V$7</f>
        <v>68250</v>
      </c>
      <c r="K98" s="27">
        <f>$V$7</f>
        <v>68250</v>
      </c>
      <c r="L98" s="27">
        <f>$V$7</f>
        <v>68250</v>
      </c>
      <c r="M98" s="47">
        <f>$V$7</f>
        <v>68250</v>
      </c>
      <c r="N98" s="47">
        <f>$V$7</f>
        <v>68250</v>
      </c>
      <c r="O98" s="47">
        <f>$V$7</f>
        <v>68250</v>
      </c>
      <c r="P98" s="47">
        <f>$V$7*1.1</f>
        <v>75075</v>
      </c>
      <c r="Q98" s="28">
        <f>SUM(E98:L98,M98,N98,O98,P98)</f>
        <v>825825</v>
      </c>
    </row>
    <row r="99" spans="1:17" x14ac:dyDescent="0.25">
      <c r="A99">
        <v>15</v>
      </c>
      <c r="B99" s="15" t="s">
        <v>60</v>
      </c>
      <c r="C99" s="30">
        <v>10</v>
      </c>
      <c r="D99" s="12" t="s">
        <v>22</v>
      </c>
      <c r="E99" s="27">
        <f>$V$16</f>
        <v>68250</v>
      </c>
      <c r="F99" s="27">
        <f>$V$16</f>
        <v>68250</v>
      </c>
      <c r="G99" s="27">
        <f>$V$16</f>
        <v>68250</v>
      </c>
      <c r="H99" s="27">
        <f>$V$16</f>
        <v>68250</v>
      </c>
      <c r="I99" s="27">
        <f>$V$16</f>
        <v>68250</v>
      </c>
      <c r="J99" s="27">
        <f>$V$16</f>
        <v>68250</v>
      </c>
      <c r="K99" s="27">
        <f>$V$16</f>
        <v>68250</v>
      </c>
      <c r="L99" s="27">
        <f>$V$16</f>
        <v>68250</v>
      </c>
      <c r="M99" s="47">
        <f>$V$16</f>
        <v>68250</v>
      </c>
      <c r="N99" s="47">
        <f>$V$16</f>
        <v>68250</v>
      </c>
      <c r="O99" s="47">
        <f>$V$16</f>
        <v>68250</v>
      </c>
      <c r="P99" s="47">
        <f>$V$16*1.1</f>
        <v>75075</v>
      </c>
      <c r="Q99" s="28">
        <f>SUM(E99:L99,M99,N99,O99,P99)</f>
        <v>825825</v>
      </c>
    </row>
    <row r="100" spans="1:17" x14ac:dyDescent="0.25">
      <c r="A100">
        <v>16</v>
      </c>
      <c r="B100" s="16" t="s">
        <v>146</v>
      </c>
      <c r="C100" s="30">
        <v>10</v>
      </c>
      <c r="D100" s="12" t="s">
        <v>49</v>
      </c>
      <c r="E100" s="27">
        <f>$V$5</f>
        <v>68250</v>
      </c>
      <c r="F100" s="27">
        <f>$V$5</f>
        <v>68250</v>
      </c>
      <c r="G100" s="27">
        <f>$V$5</f>
        <v>68250</v>
      </c>
      <c r="H100" s="27">
        <f>$V$5</f>
        <v>68250</v>
      </c>
      <c r="I100" s="27">
        <f>$V$5</f>
        <v>68250</v>
      </c>
      <c r="J100" s="27">
        <f>$V$5</f>
        <v>68250</v>
      </c>
      <c r="K100" s="27">
        <f>$V$5</f>
        <v>68250</v>
      </c>
      <c r="L100" s="27">
        <f>$V$5</f>
        <v>68250</v>
      </c>
      <c r="M100" s="47">
        <f>$V$5</f>
        <v>68250</v>
      </c>
      <c r="N100" s="47">
        <f>$V$5</f>
        <v>68250</v>
      </c>
      <c r="O100" s="47">
        <f>$V$5</f>
        <v>68250</v>
      </c>
      <c r="P100" s="47">
        <f>$V$5*1.1</f>
        <v>75075</v>
      </c>
      <c r="Q100" s="28">
        <f>SUM(E100:L100,M100,N100,O100,P100)</f>
        <v>825825</v>
      </c>
    </row>
    <row r="101" spans="1:17" x14ac:dyDescent="0.25">
      <c r="A101">
        <v>17</v>
      </c>
      <c r="B101" s="16" t="s">
        <v>146</v>
      </c>
      <c r="C101" s="8">
        <v>10</v>
      </c>
      <c r="D101" s="9" t="s">
        <v>23</v>
      </c>
      <c r="E101" s="27">
        <f>$V$5</f>
        <v>68250</v>
      </c>
      <c r="F101" s="27">
        <f>$V$5</f>
        <v>68250</v>
      </c>
      <c r="G101" s="27">
        <f>$V$5</f>
        <v>68250</v>
      </c>
      <c r="H101" s="27">
        <f>$V$5</f>
        <v>68250</v>
      </c>
      <c r="I101" s="27">
        <f>$V$5</f>
        <v>68250</v>
      </c>
      <c r="J101" s="27">
        <f>$V$5</f>
        <v>68250</v>
      </c>
      <c r="K101" s="27">
        <f>$V$5</f>
        <v>68250</v>
      </c>
      <c r="L101" s="27">
        <f>$V$5</f>
        <v>68250</v>
      </c>
      <c r="M101" s="47">
        <f>$V$5</f>
        <v>68250</v>
      </c>
      <c r="N101" s="47">
        <f>$V$5</f>
        <v>68250</v>
      </c>
      <c r="O101" s="47">
        <f>$V$5</f>
        <v>68250</v>
      </c>
      <c r="P101" s="47">
        <f>$V$5*1.1</f>
        <v>75075</v>
      </c>
      <c r="Q101" s="28">
        <f>SUM(E101:L101,M101,N101,O101,P101)</f>
        <v>825825</v>
      </c>
    </row>
    <row r="102" spans="1:17" x14ac:dyDescent="0.25">
      <c r="A102">
        <v>18</v>
      </c>
      <c r="B102" s="16" t="s">
        <v>146</v>
      </c>
      <c r="C102" s="8">
        <v>10</v>
      </c>
      <c r="D102" s="9" t="s">
        <v>24</v>
      </c>
      <c r="E102" s="27">
        <f>$V$5</f>
        <v>68250</v>
      </c>
      <c r="F102" s="27">
        <f>$V$5</f>
        <v>68250</v>
      </c>
      <c r="G102" s="27">
        <f>$V$5</f>
        <v>68250</v>
      </c>
      <c r="H102" s="27">
        <f>$V$5</f>
        <v>68250</v>
      </c>
      <c r="I102" s="27">
        <f>$V$5</f>
        <v>68250</v>
      </c>
      <c r="J102" s="27">
        <f>$V$5</f>
        <v>68250</v>
      </c>
      <c r="K102" s="27">
        <f>$V$5</f>
        <v>68250</v>
      </c>
      <c r="L102" s="27">
        <f>$V$5</f>
        <v>68250</v>
      </c>
      <c r="M102" s="47">
        <f>$V$5</f>
        <v>68250</v>
      </c>
      <c r="N102" s="47">
        <f>$V$5</f>
        <v>68250</v>
      </c>
      <c r="O102" s="47">
        <f>$V$5</f>
        <v>68250</v>
      </c>
      <c r="P102" s="47">
        <f>$V$5*1.1</f>
        <v>75075</v>
      </c>
      <c r="Q102" s="28">
        <f>SUM(E102:L102,M102,N102,O102,P102)</f>
        <v>825825</v>
      </c>
    </row>
    <row r="103" spans="1:17" x14ac:dyDescent="0.25">
      <c r="A103">
        <v>19</v>
      </c>
      <c r="B103" s="15" t="s">
        <v>60</v>
      </c>
      <c r="C103" s="8">
        <v>8</v>
      </c>
      <c r="D103" s="11" t="s">
        <v>50</v>
      </c>
      <c r="E103" s="27">
        <f>$V$16</f>
        <v>68250</v>
      </c>
      <c r="F103" s="27">
        <f>$V$16</f>
        <v>68250</v>
      </c>
      <c r="G103" s="27">
        <f>$V$16</f>
        <v>68250</v>
      </c>
      <c r="H103" s="27">
        <f>$V$16</f>
        <v>68250</v>
      </c>
      <c r="I103" s="27">
        <f>$V$16</f>
        <v>68250</v>
      </c>
      <c r="J103" s="27">
        <f>$V$16</f>
        <v>68250</v>
      </c>
      <c r="K103" s="27">
        <f>$V$16</f>
        <v>68250</v>
      </c>
      <c r="L103" s="27">
        <f>$V$16</f>
        <v>68250</v>
      </c>
      <c r="M103" s="47">
        <f>$V$16</f>
        <v>68250</v>
      </c>
      <c r="N103" s="47">
        <f>$V$16</f>
        <v>68250</v>
      </c>
      <c r="O103" s="47">
        <f>$V$16</f>
        <v>68250</v>
      </c>
      <c r="P103" s="47">
        <f>$V$16*1.1</f>
        <v>75075</v>
      </c>
      <c r="Q103" s="28">
        <f>SUM(E103:L103,M103,N103,O103,P103)</f>
        <v>825825</v>
      </c>
    </row>
    <row r="104" spans="1:17" x14ac:dyDescent="0.25">
      <c r="A104">
        <v>20</v>
      </c>
      <c r="B104" s="8" t="s">
        <v>138</v>
      </c>
      <c r="C104" s="8">
        <v>8</v>
      </c>
      <c r="D104" s="9" t="s">
        <v>25</v>
      </c>
      <c r="E104" s="27">
        <v>52500</v>
      </c>
      <c r="F104" s="27">
        <v>52500</v>
      </c>
      <c r="G104" s="27">
        <f>$V$4</f>
        <v>70000</v>
      </c>
      <c r="H104" s="27">
        <f>$V$4</f>
        <v>70000</v>
      </c>
      <c r="I104" s="27">
        <f>$V$4</f>
        <v>70000</v>
      </c>
      <c r="J104" s="27">
        <f>$V$4</f>
        <v>70000</v>
      </c>
      <c r="K104" s="27">
        <f>$V$4</f>
        <v>70000</v>
      </c>
      <c r="L104" s="27">
        <f>$V$4</f>
        <v>70000</v>
      </c>
      <c r="M104" s="47">
        <f>$V$4</f>
        <v>70000</v>
      </c>
      <c r="N104" s="47">
        <f>$V$4</f>
        <v>70000</v>
      </c>
      <c r="O104" s="47">
        <f>$V$4</f>
        <v>70000</v>
      </c>
      <c r="P104" s="47">
        <f>$V$4*1.1</f>
        <v>77000</v>
      </c>
      <c r="Q104" s="28">
        <f>SUM(E104:L104,M104,N104,O104,P104)</f>
        <v>812000</v>
      </c>
    </row>
    <row r="105" spans="1:17" x14ac:dyDescent="0.25">
      <c r="A105">
        <v>21</v>
      </c>
      <c r="B105" s="16" t="s">
        <v>146</v>
      </c>
      <c r="C105" s="8">
        <v>10</v>
      </c>
      <c r="D105" s="11" t="s">
        <v>51</v>
      </c>
      <c r="E105" s="27">
        <f>$V$5</f>
        <v>68250</v>
      </c>
      <c r="F105" s="27">
        <f>$V$5</f>
        <v>68250</v>
      </c>
      <c r="G105" s="27">
        <f>$V$5</f>
        <v>68250</v>
      </c>
      <c r="H105" s="27">
        <f>$V$5</f>
        <v>68250</v>
      </c>
      <c r="I105" s="27">
        <f>$V$5</f>
        <v>68250</v>
      </c>
      <c r="J105" s="27">
        <f>$V$5</f>
        <v>68250</v>
      </c>
      <c r="K105" s="27">
        <f>$V$5</f>
        <v>68250</v>
      </c>
      <c r="L105" s="27">
        <f>$V$5</f>
        <v>68250</v>
      </c>
      <c r="M105" s="47">
        <f>$V$5</f>
        <v>68250</v>
      </c>
      <c r="N105" s="47">
        <f>$V$5</f>
        <v>68250</v>
      </c>
      <c r="O105" s="47">
        <f>$V$5</f>
        <v>68250</v>
      </c>
      <c r="P105" s="47">
        <f>$V$5*1.1</f>
        <v>75075</v>
      </c>
      <c r="Q105" s="28">
        <f>SUM(E105:L105,M105,N105,O105,P105)</f>
        <v>825825</v>
      </c>
    </row>
    <row r="106" spans="1:17" x14ac:dyDescent="0.25">
      <c r="A106">
        <v>22</v>
      </c>
      <c r="B106" s="25" t="s">
        <v>154</v>
      </c>
      <c r="C106" s="8">
        <v>8</v>
      </c>
      <c r="D106" s="11" t="s">
        <v>143</v>
      </c>
      <c r="E106" s="27">
        <f>$V$23</f>
        <v>150000</v>
      </c>
      <c r="F106" s="27">
        <f>$V$23</f>
        <v>150000</v>
      </c>
      <c r="G106" s="27">
        <f>$V$23</f>
        <v>150000</v>
      </c>
      <c r="H106" s="27">
        <f>$V$23</f>
        <v>150000</v>
      </c>
      <c r="I106" s="27">
        <f>$V$23</f>
        <v>150000</v>
      </c>
      <c r="J106" s="27">
        <f>$V$23</f>
        <v>150000</v>
      </c>
      <c r="K106" s="27">
        <f>$V$23</f>
        <v>150000</v>
      </c>
      <c r="L106" s="27">
        <f>$V$23</f>
        <v>150000</v>
      </c>
      <c r="M106" s="47">
        <f>$V$23</f>
        <v>150000</v>
      </c>
      <c r="N106" s="47">
        <f>$V$23</f>
        <v>150000</v>
      </c>
      <c r="O106" s="47">
        <f>$V$23</f>
        <v>150000</v>
      </c>
      <c r="P106" s="47">
        <f>$V$23*1.1</f>
        <v>165000</v>
      </c>
      <c r="Q106" s="28">
        <f>SUM(E106:L106,M106,N106,O106,P106)</f>
        <v>1815000</v>
      </c>
    </row>
    <row r="107" spans="1:17" x14ac:dyDescent="0.25">
      <c r="A107">
        <v>23</v>
      </c>
      <c r="B107" s="16" t="s">
        <v>146</v>
      </c>
      <c r="C107" s="8">
        <v>10</v>
      </c>
      <c r="D107" s="9" t="s">
        <v>27</v>
      </c>
      <c r="E107" s="27">
        <f>$V$5</f>
        <v>68250</v>
      </c>
      <c r="F107" s="27">
        <f>$V$5</f>
        <v>68250</v>
      </c>
      <c r="G107" s="27">
        <f>$V$5</f>
        <v>68250</v>
      </c>
      <c r="H107" s="27">
        <f>$V$5</f>
        <v>68250</v>
      </c>
      <c r="I107" s="27">
        <f>$V$5</f>
        <v>68250</v>
      </c>
      <c r="J107" s="27">
        <f>$V$5</f>
        <v>68250</v>
      </c>
      <c r="K107" s="27">
        <f>$V$5</f>
        <v>68250</v>
      </c>
      <c r="L107" s="27">
        <f>$V$5</f>
        <v>68250</v>
      </c>
      <c r="M107" s="47">
        <f>$V$5</f>
        <v>68250</v>
      </c>
      <c r="N107" s="47">
        <f>$V$5</f>
        <v>68250</v>
      </c>
      <c r="O107" s="47">
        <f>$V$5</f>
        <v>68250</v>
      </c>
      <c r="P107" s="47">
        <f>$V$5*1.1</f>
        <v>75075</v>
      </c>
      <c r="Q107" s="28">
        <f>SUM(E107:L107,M107,N107,O107,P107)</f>
        <v>825825</v>
      </c>
    </row>
    <row r="108" spans="1:17" x14ac:dyDescent="0.25">
      <c r="A108">
        <v>24</v>
      </c>
      <c r="B108" s="16" t="s">
        <v>146</v>
      </c>
      <c r="C108" s="8">
        <v>10</v>
      </c>
      <c r="D108" s="9" t="s">
        <v>28</v>
      </c>
      <c r="E108" s="27">
        <f>$V$5</f>
        <v>68250</v>
      </c>
      <c r="F108" s="27">
        <f>$V$5</f>
        <v>68250</v>
      </c>
      <c r="G108" s="27">
        <f>$V$5</f>
        <v>68250</v>
      </c>
      <c r="H108" s="27">
        <f>$V$5</f>
        <v>68250</v>
      </c>
      <c r="I108" s="27">
        <f>$V$5</f>
        <v>68250</v>
      </c>
      <c r="J108" s="27">
        <f>$V$5</f>
        <v>68250</v>
      </c>
      <c r="K108" s="27">
        <f>$V$5</f>
        <v>68250</v>
      </c>
      <c r="L108" s="27">
        <f>$V$5</f>
        <v>68250</v>
      </c>
      <c r="M108" s="47">
        <f>$V$5</f>
        <v>68250</v>
      </c>
      <c r="N108" s="47">
        <f>$V$5</f>
        <v>68250</v>
      </c>
      <c r="O108" s="47">
        <f>$V$5</f>
        <v>68250</v>
      </c>
      <c r="P108" s="47">
        <f>$V$5*1.1</f>
        <v>75075</v>
      </c>
      <c r="Q108" s="28">
        <f>SUM(E108:L108,M108,N108,O108,P108)</f>
        <v>825825</v>
      </c>
    </row>
    <row r="109" spans="1:17" x14ac:dyDescent="0.25">
      <c r="A109">
        <v>25</v>
      </c>
      <c r="B109" s="16" t="s">
        <v>146</v>
      </c>
      <c r="C109" s="8">
        <v>12</v>
      </c>
      <c r="D109" s="9" t="s">
        <v>29</v>
      </c>
      <c r="E109" s="27">
        <f>$V$5</f>
        <v>68250</v>
      </c>
      <c r="F109" s="27">
        <f>$V$5</f>
        <v>68250</v>
      </c>
      <c r="G109" s="27">
        <f>$V$5</f>
        <v>68250</v>
      </c>
      <c r="H109" s="27">
        <f>$V$5</f>
        <v>68250</v>
      </c>
      <c r="I109" s="27">
        <f>$V$5</f>
        <v>68250</v>
      </c>
      <c r="J109" s="27">
        <f>$V$5</f>
        <v>68250</v>
      </c>
      <c r="K109" s="27">
        <f>$V$5</f>
        <v>68250</v>
      </c>
      <c r="L109" s="27">
        <f>$V$5</f>
        <v>68250</v>
      </c>
      <c r="M109" s="47">
        <f>$V$5</f>
        <v>68250</v>
      </c>
      <c r="N109" s="47">
        <f>$V$5</f>
        <v>68250</v>
      </c>
      <c r="O109" s="47">
        <f>$V$5</f>
        <v>68250</v>
      </c>
      <c r="P109" s="47">
        <f>$V$5*1.1</f>
        <v>75075</v>
      </c>
      <c r="Q109" s="28">
        <f>SUM(E109:L109,M109,N109,O109,P109)</f>
        <v>825825</v>
      </c>
    </row>
    <row r="110" spans="1:17" x14ac:dyDescent="0.25">
      <c r="A110">
        <v>26</v>
      </c>
      <c r="B110" s="14" t="s">
        <v>66</v>
      </c>
      <c r="C110" s="8">
        <v>12</v>
      </c>
      <c r="D110" s="11" t="s">
        <v>30</v>
      </c>
      <c r="E110" s="27">
        <f>$V$10</f>
        <v>68250</v>
      </c>
      <c r="F110" s="27">
        <f>$V$10</f>
        <v>68250</v>
      </c>
      <c r="G110" s="27">
        <f>$V$10</f>
        <v>68250</v>
      </c>
      <c r="H110" s="27">
        <f>$V$10</f>
        <v>68250</v>
      </c>
      <c r="I110" s="27">
        <f>$V$10</f>
        <v>68250</v>
      </c>
      <c r="J110" s="27">
        <f>$V$10</f>
        <v>68250</v>
      </c>
      <c r="K110" s="27">
        <f>$V$10</f>
        <v>68250</v>
      </c>
      <c r="L110" s="27">
        <f>$V$10</f>
        <v>68250</v>
      </c>
      <c r="M110" s="47">
        <f>$V$10</f>
        <v>68250</v>
      </c>
      <c r="N110" s="47">
        <f>$V$10</f>
        <v>68250</v>
      </c>
      <c r="O110" s="47">
        <f>$V$10</f>
        <v>68250</v>
      </c>
      <c r="P110" s="47">
        <f>$V$10*1.1</f>
        <v>75075</v>
      </c>
      <c r="Q110" s="28">
        <f>SUM(E110:L110,M110,N110,O110,P110)</f>
        <v>825825</v>
      </c>
    </row>
    <row r="111" spans="1:17" x14ac:dyDescent="0.25">
      <c r="A111">
        <v>27</v>
      </c>
      <c r="B111" s="16" t="s">
        <v>146</v>
      </c>
      <c r="C111" s="8">
        <v>10</v>
      </c>
      <c r="D111" s="9" t="s">
        <v>31</v>
      </c>
      <c r="E111" s="27">
        <f>$V$5</f>
        <v>68250</v>
      </c>
      <c r="F111" s="27">
        <f>$V$5</f>
        <v>68250</v>
      </c>
      <c r="G111" s="27">
        <f>$V$5</f>
        <v>68250</v>
      </c>
      <c r="H111" s="27">
        <f>$V$5</f>
        <v>68250</v>
      </c>
      <c r="I111" s="27">
        <f>$V$5</f>
        <v>68250</v>
      </c>
      <c r="J111" s="27">
        <f>$V$5</f>
        <v>68250</v>
      </c>
      <c r="K111" s="27">
        <f>$V$5</f>
        <v>68250</v>
      </c>
      <c r="L111" s="27">
        <f>$V$5</f>
        <v>68250</v>
      </c>
      <c r="M111" s="47">
        <f>$V$5</f>
        <v>68250</v>
      </c>
      <c r="N111" s="47">
        <f>$V$5</f>
        <v>68250</v>
      </c>
      <c r="O111" s="47">
        <f>$V$5</f>
        <v>68250</v>
      </c>
      <c r="P111" s="47">
        <f>$V$5*1.1</f>
        <v>75075</v>
      </c>
      <c r="Q111" s="28">
        <f>SUM(E111:L111,M111,N111,O111,P111)</f>
        <v>825825</v>
      </c>
    </row>
    <row r="112" spans="1:17" x14ac:dyDescent="0.25">
      <c r="A112">
        <v>28</v>
      </c>
      <c r="B112" s="14" t="s">
        <v>62</v>
      </c>
      <c r="C112" s="8">
        <v>10</v>
      </c>
      <c r="D112" s="11" t="s">
        <v>52</v>
      </c>
      <c r="E112" s="27">
        <f>$V$12</f>
        <v>68250</v>
      </c>
      <c r="F112" s="27">
        <f>$V$12</f>
        <v>68250</v>
      </c>
      <c r="G112" s="27">
        <f>$V$12</f>
        <v>68250</v>
      </c>
      <c r="H112" s="27">
        <f>$V$12</f>
        <v>68250</v>
      </c>
      <c r="I112" s="27">
        <f>$V$12</f>
        <v>68250</v>
      </c>
      <c r="J112" s="27">
        <f>$V$12</f>
        <v>68250</v>
      </c>
      <c r="K112" s="27">
        <f>$V$12</f>
        <v>68250</v>
      </c>
      <c r="L112" s="27">
        <f>$V$12</f>
        <v>68250</v>
      </c>
      <c r="M112" s="47">
        <f>$V$12</f>
        <v>68250</v>
      </c>
      <c r="N112" s="47">
        <f>$V$12</f>
        <v>68250</v>
      </c>
      <c r="O112" s="47">
        <f>$V$12</f>
        <v>68250</v>
      </c>
      <c r="P112" s="47">
        <f>$V$12*1.1</f>
        <v>75075</v>
      </c>
      <c r="Q112" s="28">
        <f>SUM(E112:L112,M112,N112,O112,P112)</f>
        <v>825825</v>
      </c>
    </row>
    <row r="113" spans="1:17" x14ac:dyDescent="0.25">
      <c r="A113">
        <v>29</v>
      </c>
      <c r="B113" s="16" t="s">
        <v>145</v>
      </c>
      <c r="C113" s="8">
        <v>10</v>
      </c>
      <c r="D113" s="11" t="s">
        <v>53</v>
      </c>
      <c r="E113" s="27">
        <f>$V$6</f>
        <v>68250</v>
      </c>
      <c r="F113" s="27">
        <f>$V$6</f>
        <v>68250</v>
      </c>
      <c r="G113" s="27">
        <f>$V$6</f>
        <v>68250</v>
      </c>
      <c r="H113" s="27">
        <f>$V$6</f>
        <v>68250</v>
      </c>
      <c r="I113" s="27">
        <f>$V$6</f>
        <v>68250</v>
      </c>
      <c r="J113" s="27">
        <f>$V$6</f>
        <v>68250</v>
      </c>
      <c r="K113" s="27">
        <f>$V$6</f>
        <v>68250</v>
      </c>
      <c r="L113" s="27">
        <f>$V$6</f>
        <v>68250</v>
      </c>
      <c r="M113" s="47">
        <f>$V$6</f>
        <v>68250</v>
      </c>
      <c r="N113" s="47">
        <f>$V$6</f>
        <v>68250</v>
      </c>
      <c r="O113" s="47">
        <f>$V$6</f>
        <v>68250</v>
      </c>
      <c r="P113" s="47">
        <f>$V$6*1.1</f>
        <v>75075</v>
      </c>
      <c r="Q113" s="28">
        <f>SUM(E113:L113,M113,N113,O113,P113)</f>
        <v>825825</v>
      </c>
    </row>
    <row r="114" spans="1:17" x14ac:dyDescent="0.25">
      <c r="A114">
        <v>30</v>
      </c>
      <c r="B114" s="16" t="s">
        <v>146</v>
      </c>
      <c r="C114" s="8">
        <v>10</v>
      </c>
      <c r="D114" s="9" t="s">
        <v>32</v>
      </c>
      <c r="E114" s="27">
        <f>$V$5</f>
        <v>68250</v>
      </c>
      <c r="F114" s="27">
        <f>$V$5</f>
        <v>68250</v>
      </c>
      <c r="G114" s="27">
        <f>$V$5</f>
        <v>68250</v>
      </c>
      <c r="H114" s="27">
        <f>$V$5</f>
        <v>68250</v>
      </c>
      <c r="I114" s="27">
        <f>$V$5</f>
        <v>68250</v>
      </c>
      <c r="J114" s="27">
        <f>$V$5</f>
        <v>68250</v>
      </c>
      <c r="K114" s="27">
        <f>$V$5</f>
        <v>68250</v>
      </c>
      <c r="L114" s="27">
        <f>$V$5</f>
        <v>68250</v>
      </c>
      <c r="M114" s="47">
        <f>$V$5</f>
        <v>68250</v>
      </c>
      <c r="N114" s="47">
        <f>$V$5</f>
        <v>68250</v>
      </c>
      <c r="O114" s="47">
        <f>$V$5</f>
        <v>68250</v>
      </c>
      <c r="P114" s="47">
        <f>$V$5*1.1</f>
        <v>75075</v>
      </c>
      <c r="Q114" s="28">
        <f>SUM(E114:L114,M114,N114,O114,P114)</f>
        <v>825825</v>
      </c>
    </row>
    <row r="115" spans="1:17" x14ac:dyDescent="0.25">
      <c r="A115">
        <v>31</v>
      </c>
      <c r="B115" s="15" t="s">
        <v>61</v>
      </c>
      <c r="C115" s="8">
        <v>10</v>
      </c>
      <c r="D115" s="9" t="s">
        <v>33</v>
      </c>
      <c r="E115" s="27">
        <f>$V$14</f>
        <v>68250</v>
      </c>
      <c r="F115" s="27">
        <f>$V$14</f>
        <v>68250</v>
      </c>
      <c r="G115" s="27">
        <f>$V$14</f>
        <v>68250</v>
      </c>
      <c r="H115" s="27">
        <f>$V$14</f>
        <v>68250</v>
      </c>
      <c r="I115" s="27">
        <f>$V$14</f>
        <v>68250</v>
      </c>
      <c r="J115" s="27">
        <f>$V$14</f>
        <v>68250</v>
      </c>
      <c r="K115" s="27">
        <f>$V$14</f>
        <v>68250</v>
      </c>
      <c r="L115" s="27">
        <f>$V$14</f>
        <v>68250</v>
      </c>
      <c r="M115" s="47">
        <f>$V$14</f>
        <v>68250</v>
      </c>
      <c r="N115" s="47">
        <f>$V$14</f>
        <v>68250</v>
      </c>
      <c r="O115" s="47">
        <f>$V$14</f>
        <v>68250</v>
      </c>
      <c r="P115" s="47">
        <f>$V$14*1.1</f>
        <v>75075</v>
      </c>
      <c r="Q115" s="28">
        <f>SUM(E115:L115,M115,N115,O115,P115)</f>
        <v>825825</v>
      </c>
    </row>
    <row r="116" spans="1:17" x14ac:dyDescent="0.25">
      <c r="A116">
        <v>32</v>
      </c>
      <c r="B116" s="15" t="s">
        <v>61</v>
      </c>
      <c r="C116" s="8">
        <v>10</v>
      </c>
      <c r="D116" s="9" t="s">
        <v>34</v>
      </c>
      <c r="E116" s="27">
        <f>$V$14</f>
        <v>68250</v>
      </c>
      <c r="F116" s="27">
        <f>$V$14</f>
        <v>68250</v>
      </c>
      <c r="G116" s="27">
        <f>$V$14</f>
        <v>68250</v>
      </c>
      <c r="H116" s="27">
        <f>$V$14</f>
        <v>68250</v>
      </c>
      <c r="I116" s="27">
        <f>$V$14</f>
        <v>68250</v>
      </c>
      <c r="J116" s="27">
        <f>$V$14</f>
        <v>68250</v>
      </c>
      <c r="K116" s="27">
        <f>$V$14</f>
        <v>68250</v>
      </c>
      <c r="L116" s="27">
        <f>$V$14</f>
        <v>68250</v>
      </c>
      <c r="M116" s="47">
        <f>$V$14</f>
        <v>68250</v>
      </c>
      <c r="N116" s="47">
        <f>$V$14</f>
        <v>68250</v>
      </c>
      <c r="O116" s="47">
        <f>$V$14</f>
        <v>68250</v>
      </c>
      <c r="P116" s="47">
        <f>$V$14*1.1</f>
        <v>75075</v>
      </c>
      <c r="Q116" s="28">
        <f>SUM(E116:L116,M116,N116,O116,P116)</f>
        <v>825825</v>
      </c>
    </row>
    <row r="117" spans="1:17" x14ac:dyDescent="0.25">
      <c r="A117">
        <v>33</v>
      </c>
      <c r="B117" s="16" t="s">
        <v>146</v>
      </c>
      <c r="C117" s="8">
        <v>10</v>
      </c>
      <c r="D117" s="9" t="s">
        <v>54</v>
      </c>
      <c r="E117" s="27">
        <f>$V$5</f>
        <v>68250</v>
      </c>
      <c r="F117" s="27">
        <f>$V$5</f>
        <v>68250</v>
      </c>
      <c r="G117" s="27">
        <f>$V$5</f>
        <v>68250</v>
      </c>
      <c r="H117" s="27">
        <f>$V$5</f>
        <v>68250</v>
      </c>
      <c r="I117" s="27">
        <f>$V$5</f>
        <v>68250</v>
      </c>
      <c r="J117" s="27">
        <f>$V$5</f>
        <v>68250</v>
      </c>
      <c r="K117" s="27">
        <f>$V$5</f>
        <v>68250</v>
      </c>
      <c r="L117" s="27">
        <f>$V$5</f>
        <v>68250</v>
      </c>
      <c r="M117" s="47">
        <f>$V$5</f>
        <v>68250</v>
      </c>
      <c r="N117" s="47">
        <f>$V$5</f>
        <v>68250</v>
      </c>
      <c r="O117" s="47">
        <f>$V$5</f>
        <v>68250</v>
      </c>
      <c r="P117" s="47">
        <f>$V$5*1.1</f>
        <v>75075</v>
      </c>
      <c r="Q117" s="28">
        <f>SUM(E117:L117,M117,N117,O117,P117)</f>
        <v>825825</v>
      </c>
    </row>
    <row r="118" spans="1:17" x14ac:dyDescent="0.25">
      <c r="A118">
        <v>34</v>
      </c>
      <c r="B118" s="16" t="s">
        <v>146</v>
      </c>
      <c r="C118" s="8">
        <v>10</v>
      </c>
      <c r="D118" s="11" t="s">
        <v>55</v>
      </c>
      <c r="E118" s="27">
        <f>$V$5</f>
        <v>68250</v>
      </c>
      <c r="F118" s="27">
        <f>$V$5</f>
        <v>68250</v>
      </c>
      <c r="G118" s="27">
        <f>$V$5</f>
        <v>68250</v>
      </c>
      <c r="H118" s="27">
        <f>$V$5</f>
        <v>68250</v>
      </c>
      <c r="I118" s="27">
        <f>$V$5</f>
        <v>68250</v>
      </c>
      <c r="J118" s="27">
        <f>$V$5</f>
        <v>68250</v>
      </c>
      <c r="K118" s="27">
        <f>$V$5</f>
        <v>68250</v>
      </c>
      <c r="L118" s="27">
        <f>$V$5</f>
        <v>68250</v>
      </c>
      <c r="M118" s="47">
        <f>$V$5</f>
        <v>68250</v>
      </c>
      <c r="N118" s="47">
        <f>$V$5</f>
        <v>68250</v>
      </c>
      <c r="O118" s="47">
        <f>$V$5</f>
        <v>68250</v>
      </c>
      <c r="P118" s="47">
        <f>$V$5*1.1</f>
        <v>75075</v>
      </c>
      <c r="Q118" s="28">
        <f>SUM(E118:L118,M118,N118,O118,P118)</f>
        <v>825825</v>
      </c>
    </row>
    <row r="119" spans="1:17" x14ac:dyDescent="0.25">
      <c r="A119">
        <v>35</v>
      </c>
      <c r="B119" s="8" t="s">
        <v>138</v>
      </c>
      <c r="C119" s="8">
        <v>10</v>
      </c>
      <c r="D119" s="9" t="s">
        <v>35</v>
      </c>
      <c r="E119" s="27">
        <v>65600</v>
      </c>
      <c r="F119" s="27">
        <v>65600</v>
      </c>
      <c r="G119" s="27">
        <f>$V$4</f>
        <v>70000</v>
      </c>
      <c r="H119" s="27">
        <f>$V$4</f>
        <v>70000</v>
      </c>
      <c r="I119" s="27">
        <f>$V$4</f>
        <v>70000</v>
      </c>
      <c r="J119" s="27">
        <f>$V$4</f>
        <v>70000</v>
      </c>
      <c r="K119" s="27">
        <f>$V$4</f>
        <v>70000</v>
      </c>
      <c r="L119" s="27">
        <f>$V$4</f>
        <v>70000</v>
      </c>
      <c r="M119" s="47">
        <f>$V$4</f>
        <v>70000</v>
      </c>
      <c r="N119" s="47">
        <f>$V$4</f>
        <v>70000</v>
      </c>
      <c r="O119" s="47">
        <f>$V$4</f>
        <v>70000</v>
      </c>
      <c r="P119" s="47">
        <f>$V$4*1.1</f>
        <v>77000</v>
      </c>
      <c r="Q119" s="28">
        <f>SUM(E119:L119,M119,N119,O119,P119)</f>
        <v>838200</v>
      </c>
    </row>
    <row r="120" spans="1:17" x14ac:dyDescent="0.25">
      <c r="A120">
        <v>36</v>
      </c>
      <c r="B120" s="16" t="s">
        <v>146</v>
      </c>
      <c r="C120" s="8">
        <v>10</v>
      </c>
      <c r="D120" s="9" t="s">
        <v>36</v>
      </c>
      <c r="E120" s="27">
        <f>$V$5</f>
        <v>68250</v>
      </c>
      <c r="F120" s="27">
        <f>$V$5</f>
        <v>68250</v>
      </c>
      <c r="G120" s="27">
        <f>$V$5</f>
        <v>68250</v>
      </c>
      <c r="H120" s="27">
        <f>$V$5</f>
        <v>68250</v>
      </c>
      <c r="I120" s="27">
        <f>$V$5</f>
        <v>68250</v>
      </c>
      <c r="J120" s="27">
        <f>$V$5</f>
        <v>68250</v>
      </c>
      <c r="K120" s="27">
        <f>$V$5</f>
        <v>68250</v>
      </c>
      <c r="L120" s="27">
        <f>$V$5</f>
        <v>68250</v>
      </c>
      <c r="M120" s="47">
        <f>$V$5</f>
        <v>68250</v>
      </c>
      <c r="N120" s="47">
        <f>$V$5</f>
        <v>68250</v>
      </c>
      <c r="O120" s="47">
        <f>$V$5</f>
        <v>68250</v>
      </c>
      <c r="P120" s="47">
        <f>$V$5*1.1</f>
        <v>75075</v>
      </c>
      <c r="Q120" s="28">
        <f>SUM(E120:L120,M120,N120,O120,P120)</f>
        <v>825825</v>
      </c>
    </row>
    <row r="121" spans="1:17" x14ac:dyDescent="0.25">
      <c r="A121">
        <v>37</v>
      </c>
      <c r="B121" s="16" t="s">
        <v>146</v>
      </c>
      <c r="C121" s="8">
        <v>12</v>
      </c>
      <c r="D121" s="9" t="s">
        <v>37</v>
      </c>
      <c r="E121" s="27">
        <f>$V$5</f>
        <v>68250</v>
      </c>
      <c r="F121" s="27">
        <f>$V$5</f>
        <v>68250</v>
      </c>
      <c r="G121" s="27">
        <f>$V$5</f>
        <v>68250</v>
      </c>
      <c r="H121" s="27">
        <f>$V$5</f>
        <v>68250</v>
      </c>
      <c r="I121" s="27">
        <f>$V$5</f>
        <v>68250</v>
      </c>
      <c r="J121" s="27">
        <f>$V$5</f>
        <v>68250</v>
      </c>
      <c r="K121" s="27">
        <f>$V$5</f>
        <v>68250</v>
      </c>
      <c r="L121" s="27">
        <f>$V$5</f>
        <v>68250</v>
      </c>
      <c r="M121" s="47">
        <f>$V$5</f>
        <v>68250</v>
      </c>
      <c r="N121" s="47">
        <f>$V$5</f>
        <v>68250</v>
      </c>
      <c r="O121" s="47">
        <f>$V$5</f>
        <v>68250</v>
      </c>
      <c r="P121" s="47">
        <f>$V$5*1.1</f>
        <v>75075</v>
      </c>
      <c r="Q121" s="28">
        <f>SUM(E121:L121,M121,N121,O121,P121)</f>
        <v>825825</v>
      </c>
    </row>
    <row r="122" spans="1:17" x14ac:dyDescent="0.25">
      <c r="A122">
        <v>38</v>
      </c>
      <c r="B122" s="16" t="s">
        <v>145</v>
      </c>
      <c r="C122" s="8">
        <v>12</v>
      </c>
      <c r="D122" s="11" t="s">
        <v>56</v>
      </c>
      <c r="E122" s="27">
        <f>$V$6</f>
        <v>68250</v>
      </c>
      <c r="F122" s="27">
        <f>$V$6</f>
        <v>68250</v>
      </c>
      <c r="G122" s="27">
        <f>$V$6</f>
        <v>68250</v>
      </c>
      <c r="H122" s="27">
        <f>$V$6</f>
        <v>68250</v>
      </c>
      <c r="I122" s="27">
        <f>$V$6</f>
        <v>68250</v>
      </c>
      <c r="J122" s="27">
        <f>$V$6</f>
        <v>68250</v>
      </c>
      <c r="K122" s="27">
        <f>$V$6</f>
        <v>68250</v>
      </c>
      <c r="L122" s="27">
        <f>$V$6</f>
        <v>68250</v>
      </c>
      <c r="M122" s="47">
        <f>$V$6</f>
        <v>68250</v>
      </c>
      <c r="N122" s="47">
        <f>$V$6</f>
        <v>68250</v>
      </c>
      <c r="O122" s="47">
        <f>$V$6</f>
        <v>68250</v>
      </c>
      <c r="P122" s="47">
        <f>$V$6*1.1</f>
        <v>75075</v>
      </c>
      <c r="Q122" s="28">
        <f>SUM(E122:L122,M122,N122,O122,P122)</f>
        <v>825825</v>
      </c>
    </row>
    <row r="123" spans="1:17" x14ac:dyDescent="0.25">
      <c r="A123">
        <v>39</v>
      </c>
      <c r="B123" s="14" t="s">
        <v>59</v>
      </c>
      <c r="C123" s="8">
        <v>12</v>
      </c>
      <c r="D123" s="11" t="s">
        <v>57</v>
      </c>
      <c r="E123" s="27">
        <f>$V$11</f>
        <v>68250</v>
      </c>
      <c r="F123" s="27">
        <f>$V$11</f>
        <v>68250</v>
      </c>
      <c r="G123" s="27">
        <f>$V$11</f>
        <v>68250</v>
      </c>
      <c r="H123" s="27">
        <f>$V$11</f>
        <v>68250</v>
      </c>
      <c r="I123" s="27">
        <f>$V$11</f>
        <v>68250</v>
      </c>
      <c r="J123" s="27">
        <f>$V$11</f>
        <v>68250</v>
      </c>
      <c r="K123" s="27">
        <f>$V$11</f>
        <v>68250</v>
      </c>
      <c r="L123" s="27">
        <f>$V$11</f>
        <v>68250</v>
      </c>
      <c r="M123" s="47">
        <f>$V$11</f>
        <v>68250</v>
      </c>
      <c r="N123" s="47">
        <f>$V$11</f>
        <v>68250</v>
      </c>
      <c r="O123" s="47">
        <f>$V$11</f>
        <v>68250</v>
      </c>
      <c r="P123" s="47">
        <f>$V$11*1.1</f>
        <v>75075</v>
      </c>
      <c r="Q123" s="28">
        <f>SUM(E123:L123,M123,N123,O123,P123)</f>
        <v>825825</v>
      </c>
    </row>
    <row r="124" spans="1:17" x14ac:dyDescent="0.25">
      <c r="A124">
        <v>40</v>
      </c>
      <c r="B124" s="16" t="s">
        <v>146</v>
      </c>
      <c r="C124" s="8">
        <v>10</v>
      </c>
      <c r="D124" s="9" t="s">
        <v>38</v>
      </c>
      <c r="E124" s="27">
        <f>$V$5</f>
        <v>68250</v>
      </c>
      <c r="F124" s="27">
        <f>$V$5</f>
        <v>68250</v>
      </c>
      <c r="G124" s="27">
        <f>$V$5</f>
        <v>68250</v>
      </c>
      <c r="H124" s="27">
        <f>$V$5</f>
        <v>68250</v>
      </c>
      <c r="I124" s="27">
        <f>$V$5</f>
        <v>68250</v>
      </c>
      <c r="J124" s="27">
        <f>$V$5</f>
        <v>68250</v>
      </c>
      <c r="K124" s="27">
        <f>$V$5</f>
        <v>68250</v>
      </c>
      <c r="L124" s="27">
        <f>$V$5</f>
        <v>68250</v>
      </c>
      <c r="M124" s="47">
        <f>$V$5</f>
        <v>68250</v>
      </c>
      <c r="N124" s="47">
        <f>$V$5</f>
        <v>68250</v>
      </c>
      <c r="O124" s="47">
        <f>$V$5</f>
        <v>68250</v>
      </c>
      <c r="P124" s="47">
        <f>$V$5*1.1</f>
        <v>75075</v>
      </c>
      <c r="Q124" s="28">
        <f>SUM(E124:L124,M124,N124,O124,P124)</f>
        <v>825825</v>
      </c>
    </row>
    <row r="125" spans="1:17" x14ac:dyDescent="0.25">
      <c r="A125">
        <v>41</v>
      </c>
      <c r="B125" s="16" t="s">
        <v>146</v>
      </c>
      <c r="C125" s="31">
        <v>10</v>
      </c>
      <c r="D125" s="13" t="s">
        <v>39</v>
      </c>
      <c r="E125" s="27">
        <f>$V$5</f>
        <v>68250</v>
      </c>
      <c r="F125" s="27">
        <f>$V$5</f>
        <v>68250</v>
      </c>
      <c r="G125" s="27">
        <f>$V$5</f>
        <v>68250</v>
      </c>
      <c r="H125" s="27">
        <f>$V$5</f>
        <v>68250</v>
      </c>
      <c r="I125" s="27">
        <f>$V$5</f>
        <v>68250</v>
      </c>
      <c r="J125" s="27">
        <f>$V$5</f>
        <v>68250</v>
      </c>
      <c r="K125" s="27">
        <f>$V$5</f>
        <v>68250</v>
      </c>
      <c r="L125" s="27">
        <f>$V$5</f>
        <v>68250</v>
      </c>
      <c r="M125" s="47">
        <f>$V$5</f>
        <v>68250</v>
      </c>
      <c r="N125" s="47">
        <f>$V$5</f>
        <v>68250</v>
      </c>
      <c r="O125" s="47">
        <f>$V$5</f>
        <v>68250</v>
      </c>
      <c r="P125" s="47">
        <f>$V$5*1.1</f>
        <v>75075</v>
      </c>
      <c r="Q125" s="28">
        <f>SUM(E125:L125,M125,N125,O125,P125)</f>
        <v>825825</v>
      </c>
    </row>
    <row r="126" spans="1:17" x14ac:dyDescent="0.25">
      <c r="A126">
        <v>42</v>
      </c>
      <c r="B126" s="15" t="s">
        <v>68</v>
      </c>
      <c r="C126" s="8">
        <v>10</v>
      </c>
      <c r="D126" s="11" t="s">
        <v>58</v>
      </c>
      <c r="E126" s="27">
        <f>$V$15</f>
        <v>68250</v>
      </c>
      <c r="F126" s="27">
        <f>$V$15</f>
        <v>68250</v>
      </c>
      <c r="G126" s="27">
        <f>$V$15</f>
        <v>68250</v>
      </c>
      <c r="H126" s="27">
        <f>$V$15</f>
        <v>68250</v>
      </c>
      <c r="I126" s="27">
        <f>$V$15</f>
        <v>68250</v>
      </c>
      <c r="J126" s="27">
        <f>$V$15</f>
        <v>68250</v>
      </c>
      <c r="K126" s="27">
        <f>$V$15</f>
        <v>68250</v>
      </c>
      <c r="L126" s="27">
        <f>$V$15</f>
        <v>68250</v>
      </c>
      <c r="M126" s="47">
        <f>$V$15</f>
        <v>68250</v>
      </c>
      <c r="N126" s="47">
        <f>$V$15</f>
        <v>68250</v>
      </c>
      <c r="O126" s="47">
        <f>$V$15</f>
        <v>68250</v>
      </c>
      <c r="P126" s="47">
        <f>$V$15*1.1</f>
        <v>75075</v>
      </c>
      <c r="Q126" s="28">
        <f>SUM(E126:L126,M126,N126,O126,P126)</f>
        <v>825825</v>
      </c>
    </row>
    <row r="127" spans="1:17" x14ac:dyDescent="0.25">
      <c r="A127">
        <v>43</v>
      </c>
      <c r="B127" s="16" t="s">
        <v>146</v>
      </c>
      <c r="C127" s="8">
        <v>10</v>
      </c>
      <c r="D127" s="9" t="s">
        <v>40</v>
      </c>
      <c r="E127" s="27">
        <f>$V$5</f>
        <v>68250</v>
      </c>
      <c r="F127" s="27">
        <f>$V$5</f>
        <v>68250</v>
      </c>
      <c r="G127" s="27">
        <f>$V$5</f>
        <v>68250</v>
      </c>
      <c r="H127" s="27">
        <f>$V$5</f>
        <v>68250</v>
      </c>
      <c r="I127" s="27">
        <f>$V$5</f>
        <v>68250</v>
      </c>
      <c r="J127" s="27">
        <f>$V$5</f>
        <v>68250</v>
      </c>
      <c r="K127" s="27">
        <f>$V$5</f>
        <v>68250</v>
      </c>
      <c r="L127" s="27">
        <f>$V$5</f>
        <v>68250</v>
      </c>
      <c r="M127" s="47">
        <f>$V$5</f>
        <v>68250</v>
      </c>
      <c r="N127" s="47">
        <f>$V$5</f>
        <v>68250</v>
      </c>
      <c r="O127" s="47">
        <f>$V$5</f>
        <v>68250</v>
      </c>
      <c r="P127" s="47">
        <f>$V$5*1.1</f>
        <v>75075</v>
      </c>
      <c r="Q127" s="28">
        <f>SUM(E127:L127,M127,N127,O127,P127)</f>
        <v>825825</v>
      </c>
    </row>
    <row r="128" spans="1:17" x14ac:dyDescent="0.25">
      <c r="A128">
        <v>44</v>
      </c>
      <c r="B128" s="32" t="s">
        <v>152</v>
      </c>
      <c r="C128" s="8">
        <v>8</v>
      </c>
      <c r="D128" s="9" t="s">
        <v>156</v>
      </c>
      <c r="E128" s="27">
        <v>0</v>
      </c>
      <c r="F128" s="27">
        <v>60000</v>
      </c>
      <c r="G128" s="27">
        <v>120000</v>
      </c>
      <c r="H128" s="27">
        <v>120000</v>
      </c>
      <c r="I128" s="27">
        <v>135000</v>
      </c>
      <c r="J128" s="27">
        <f>$V$24</f>
        <v>150000</v>
      </c>
      <c r="K128" s="27">
        <f>$V$24</f>
        <v>150000</v>
      </c>
      <c r="L128" s="27">
        <f>$V$24</f>
        <v>150000</v>
      </c>
      <c r="M128" s="47">
        <f>$V$24</f>
        <v>150000</v>
      </c>
      <c r="N128" s="47">
        <f>$V$24</f>
        <v>150000</v>
      </c>
      <c r="O128" s="47">
        <f>$V$24</f>
        <v>150000</v>
      </c>
      <c r="P128" s="47">
        <f>$V$24*1.1</f>
        <v>165000</v>
      </c>
      <c r="Q128" s="28">
        <f>SUM(E128:L128,M128,N128,O128,P128)</f>
        <v>1500000</v>
      </c>
    </row>
    <row r="129" spans="1:17" x14ac:dyDescent="0.25">
      <c r="A129">
        <v>45</v>
      </c>
      <c r="B129" s="16" t="s">
        <v>139</v>
      </c>
      <c r="C129" s="8">
        <v>10</v>
      </c>
      <c r="D129" s="9"/>
      <c r="E129" s="27">
        <v>0</v>
      </c>
      <c r="F129" s="27">
        <v>0</v>
      </c>
      <c r="G129" s="27">
        <f>$V$18</f>
        <v>68250</v>
      </c>
      <c r="H129" s="27">
        <f>$V$18</f>
        <v>68250</v>
      </c>
      <c r="I129" s="27">
        <f>$V$18</f>
        <v>68250</v>
      </c>
      <c r="J129" s="27">
        <f>$V$18</f>
        <v>68250</v>
      </c>
      <c r="K129" s="27">
        <f>$V$18</f>
        <v>68250</v>
      </c>
      <c r="L129" s="27">
        <f>$V$18</f>
        <v>68250</v>
      </c>
      <c r="M129" s="47">
        <f>$V$18</f>
        <v>68250</v>
      </c>
      <c r="N129" s="47">
        <f>$V$18</f>
        <v>68250</v>
      </c>
      <c r="O129" s="47">
        <f>$V$18</f>
        <v>68250</v>
      </c>
      <c r="P129" s="47">
        <f>$V$18*1.1</f>
        <v>75075</v>
      </c>
      <c r="Q129" s="28">
        <f>SUM(E129:L129,M129,N129,O129,P129)</f>
        <v>689325</v>
      </c>
    </row>
    <row r="130" spans="1:17" x14ac:dyDescent="0.25">
      <c r="A130">
        <v>46</v>
      </c>
      <c r="B130" s="16" t="s">
        <v>139</v>
      </c>
      <c r="C130" s="8">
        <v>10</v>
      </c>
      <c r="D130" s="11"/>
      <c r="E130" s="27">
        <v>0</v>
      </c>
      <c r="F130" s="27">
        <v>0</v>
      </c>
      <c r="G130" s="27">
        <f>$V$18</f>
        <v>68250</v>
      </c>
      <c r="H130" s="27">
        <f>$V$18</f>
        <v>68250</v>
      </c>
      <c r="I130" s="27">
        <f>$V$18</f>
        <v>68250</v>
      </c>
      <c r="J130" s="27">
        <f>$V$18</f>
        <v>68250</v>
      </c>
      <c r="K130" s="27">
        <f>$V$18</f>
        <v>68250</v>
      </c>
      <c r="L130" s="27">
        <f>$V$18</f>
        <v>68250</v>
      </c>
      <c r="M130" s="47">
        <f>$V$18</f>
        <v>68250</v>
      </c>
      <c r="N130" s="47">
        <f>$V$18</f>
        <v>68250</v>
      </c>
      <c r="O130" s="47">
        <f>$V$18</f>
        <v>68250</v>
      </c>
      <c r="P130" s="47">
        <f>$V$18*1.1</f>
        <v>75075</v>
      </c>
      <c r="Q130" s="28">
        <f>SUM(E130:L130,M130,N130,O130,P130)</f>
        <v>689325</v>
      </c>
    </row>
    <row r="131" spans="1:17" x14ac:dyDescent="0.25">
      <c r="A131">
        <v>47</v>
      </c>
      <c r="B131" s="16" t="s">
        <v>139</v>
      </c>
      <c r="C131" s="8">
        <v>10</v>
      </c>
      <c r="D131" s="11"/>
      <c r="E131" s="34">
        <v>0</v>
      </c>
      <c r="F131" s="34">
        <v>0</v>
      </c>
      <c r="G131" s="27">
        <f>$V$18</f>
        <v>68250</v>
      </c>
      <c r="H131" s="27">
        <f>$V$18</f>
        <v>68250</v>
      </c>
      <c r="I131" s="27">
        <f>$V$18</f>
        <v>68250</v>
      </c>
      <c r="J131" s="27">
        <f>$V$18</f>
        <v>68250</v>
      </c>
      <c r="K131" s="27">
        <f>$V$18</f>
        <v>68250</v>
      </c>
      <c r="L131" s="27">
        <f>$V$18</f>
        <v>68250</v>
      </c>
      <c r="M131" s="47">
        <f>$V$18</f>
        <v>68250</v>
      </c>
      <c r="N131" s="47">
        <f>$V$18</f>
        <v>68250</v>
      </c>
      <c r="O131" s="47">
        <f>$V$18</f>
        <v>68250</v>
      </c>
      <c r="P131" s="47">
        <f>$V$18*1.1</f>
        <v>75075</v>
      </c>
      <c r="Q131" s="28">
        <f>SUM(E131:L131,M131,N131,O131,P131)</f>
        <v>689325</v>
      </c>
    </row>
    <row r="132" spans="1:17" x14ac:dyDescent="0.25">
      <c r="A132">
        <v>48</v>
      </c>
      <c r="B132" s="16" t="s">
        <v>139</v>
      </c>
      <c r="C132" s="8">
        <v>10</v>
      </c>
      <c r="D132" s="11"/>
      <c r="E132" s="34">
        <v>0</v>
      </c>
      <c r="F132" s="34">
        <v>0</v>
      </c>
      <c r="G132" s="27">
        <f>$V$18</f>
        <v>68250</v>
      </c>
      <c r="H132" s="27">
        <f>$V$18</f>
        <v>68250</v>
      </c>
      <c r="I132" s="27">
        <f>$V$18</f>
        <v>68250</v>
      </c>
      <c r="J132" s="27">
        <f>$V$18</f>
        <v>68250</v>
      </c>
      <c r="K132" s="27">
        <f>$V$18</f>
        <v>68250</v>
      </c>
      <c r="L132" s="27">
        <f>$V$18</f>
        <v>68250</v>
      </c>
      <c r="M132" s="47">
        <f>$V$18</f>
        <v>68250</v>
      </c>
      <c r="N132" s="47">
        <f>$V$18</f>
        <v>68250</v>
      </c>
      <c r="O132" s="47">
        <f>$V$18</f>
        <v>68250</v>
      </c>
      <c r="P132" s="47">
        <f>$V$18*1.1</f>
        <v>75075</v>
      </c>
      <c r="Q132" s="28">
        <f>SUM(E132:L132,M132,N132,O132,P132)</f>
        <v>689325</v>
      </c>
    </row>
    <row r="133" spans="1:17" x14ac:dyDescent="0.25">
      <c r="A133">
        <v>49</v>
      </c>
      <c r="B133" s="16" t="s">
        <v>139</v>
      </c>
      <c r="C133" s="8">
        <v>10</v>
      </c>
      <c r="D133" s="11"/>
      <c r="E133" s="34">
        <v>0</v>
      </c>
      <c r="F133" s="34">
        <v>0</v>
      </c>
      <c r="G133" s="27">
        <f>$V$18</f>
        <v>68250</v>
      </c>
      <c r="H133" s="27">
        <f>$V$18</f>
        <v>68250</v>
      </c>
      <c r="I133" s="27">
        <f>$V$18</f>
        <v>68250</v>
      </c>
      <c r="J133" s="27">
        <f>$V$18</f>
        <v>68250</v>
      </c>
      <c r="K133" s="27">
        <f>$V$18</f>
        <v>68250</v>
      </c>
      <c r="L133" s="27">
        <f>$V$18</f>
        <v>68250</v>
      </c>
      <c r="M133" s="47">
        <f>$V$18</f>
        <v>68250</v>
      </c>
      <c r="N133" s="47">
        <f>$V$18</f>
        <v>68250</v>
      </c>
      <c r="O133" s="47">
        <f>$V$18</f>
        <v>68250</v>
      </c>
      <c r="P133" s="47">
        <f>$V$18*1.1</f>
        <v>75075</v>
      </c>
      <c r="Q133" s="28">
        <f>SUM(E133:L133,M133,N133,O133,P133)</f>
        <v>689325</v>
      </c>
    </row>
    <row r="134" spans="1:17" x14ac:dyDescent="0.25">
      <c r="A134">
        <v>50</v>
      </c>
      <c r="B134" s="16" t="s">
        <v>139</v>
      </c>
      <c r="C134" s="8">
        <v>10</v>
      </c>
      <c r="D134" s="11"/>
      <c r="E134" s="34">
        <v>0</v>
      </c>
      <c r="F134" s="34">
        <v>0</v>
      </c>
      <c r="G134" s="27">
        <f>$V$18</f>
        <v>68250</v>
      </c>
      <c r="H134" s="27">
        <f>$V$18</f>
        <v>68250</v>
      </c>
      <c r="I134" s="27">
        <f>$V$18</f>
        <v>68250</v>
      </c>
      <c r="J134" s="27">
        <f>$V$18</f>
        <v>68250</v>
      </c>
      <c r="K134" s="27">
        <f>$V$18</f>
        <v>68250</v>
      </c>
      <c r="L134" s="27">
        <f>$V$18</f>
        <v>68250</v>
      </c>
      <c r="M134" s="47">
        <f>$V$18</f>
        <v>68250</v>
      </c>
      <c r="N134" s="47">
        <f>$V$18</f>
        <v>68250</v>
      </c>
      <c r="O134" s="47">
        <f>$V$18</f>
        <v>68250</v>
      </c>
      <c r="P134" s="47">
        <f>$V$18*1.1</f>
        <v>75075</v>
      </c>
      <c r="Q134" s="28">
        <f>SUM(E134:L134,M134,N134,O134,P134)</f>
        <v>689325</v>
      </c>
    </row>
    <row r="135" spans="1:17" x14ac:dyDescent="0.25">
      <c r="A135">
        <v>51</v>
      </c>
      <c r="B135" s="16" t="s">
        <v>139</v>
      </c>
      <c r="C135" s="8">
        <v>10</v>
      </c>
      <c r="D135" s="11"/>
      <c r="E135" s="34">
        <v>0</v>
      </c>
      <c r="F135" s="34">
        <v>0</v>
      </c>
      <c r="G135" s="27">
        <f>$V$18</f>
        <v>68250</v>
      </c>
      <c r="H135" s="27">
        <f>$V$18</f>
        <v>68250</v>
      </c>
      <c r="I135" s="27">
        <f>$V$18</f>
        <v>68250</v>
      </c>
      <c r="J135" s="27">
        <f>$V$18</f>
        <v>68250</v>
      </c>
      <c r="K135" s="27">
        <f>$V$18</f>
        <v>68250</v>
      </c>
      <c r="L135" s="27">
        <f>$V$18</f>
        <v>68250</v>
      </c>
      <c r="M135" s="47">
        <f>$V$18</f>
        <v>68250</v>
      </c>
      <c r="N135" s="47">
        <f>$V$18</f>
        <v>68250</v>
      </c>
      <c r="O135" s="47">
        <f>$V$18</f>
        <v>68250</v>
      </c>
      <c r="P135" s="47">
        <f>$V$18*1.1</f>
        <v>75075</v>
      </c>
      <c r="Q135" s="28">
        <f>SUM(E135:L135,M135,N135,O135,P135)</f>
        <v>689325</v>
      </c>
    </row>
    <row r="136" spans="1:17" x14ac:dyDescent="0.25">
      <c r="A136">
        <v>52</v>
      </c>
      <c r="B136" s="16" t="s">
        <v>139</v>
      </c>
      <c r="C136" s="8">
        <v>10</v>
      </c>
      <c r="D136" s="11"/>
      <c r="E136" s="34">
        <v>0</v>
      </c>
      <c r="F136" s="34">
        <v>0</v>
      </c>
      <c r="G136" s="27">
        <f>$V$18</f>
        <v>68250</v>
      </c>
      <c r="H136" s="27">
        <f>$V$18</f>
        <v>68250</v>
      </c>
      <c r="I136" s="27">
        <f>$V$18</f>
        <v>68250</v>
      </c>
      <c r="J136" s="27">
        <f>$V$18</f>
        <v>68250</v>
      </c>
      <c r="K136" s="27">
        <f>$V$18</f>
        <v>68250</v>
      </c>
      <c r="L136" s="27">
        <f>$V$18</f>
        <v>68250</v>
      </c>
      <c r="M136" s="47">
        <f>$V$18</f>
        <v>68250</v>
      </c>
      <c r="N136" s="47">
        <f>$V$18</f>
        <v>68250</v>
      </c>
      <c r="O136" s="47">
        <f>$V$18</f>
        <v>68250</v>
      </c>
      <c r="P136" s="47">
        <f>$V$18*1.1</f>
        <v>75075</v>
      </c>
      <c r="Q136" s="28">
        <f>SUM(E136:L136,M136,N136,O136,P136)</f>
        <v>689325</v>
      </c>
    </row>
    <row r="137" spans="1:17" x14ac:dyDescent="0.25">
      <c r="A137">
        <v>53</v>
      </c>
      <c r="B137" s="16" t="s">
        <v>139</v>
      </c>
      <c r="C137" s="8">
        <v>10</v>
      </c>
      <c r="D137" s="11"/>
      <c r="E137" s="34">
        <v>0</v>
      </c>
      <c r="F137" s="34">
        <v>0</v>
      </c>
      <c r="G137" s="27"/>
      <c r="H137" s="27"/>
      <c r="I137" s="27"/>
      <c r="J137" s="27"/>
      <c r="K137" s="27"/>
      <c r="L137" s="27"/>
      <c r="M137" s="47">
        <f>$V$18</f>
        <v>68250</v>
      </c>
      <c r="N137" s="47">
        <f>$V$18</f>
        <v>68250</v>
      </c>
      <c r="O137" s="47">
        <f>$V$18</f>
        <v>68250</v>
      </c>
      <c r="P137" s="47">
        <f>$V$18*1.1</f>
        <v>75075</v>
      </c>
      <c r="Q137" s="28">
        <f>SUM(E137:L137,M137,N137,O137,P137)</f>
        <v>279825</v>
      </c>
    </row>
    <row r="138" spans="1:17" x14ac:dyDescent="0.25">
      <c r="A138">
        <v>54</v>
      </c>
      <c r="B138" s="16" t="s">
        <v>139</v>
      </c>
      <c r="C138" s="8">
        <v>10</v>
      </c>
      <c r="D138" s="11"/>
      <c r="E138" s="34">
        <v>0</v>
      </c>
      <c r="F138" s="34">
        <v>0</v>
      </c>
      <c r="G138" s="27"/>
      <c r="H138" s="27"/>
      <c r="I138" s="27"/>
      <c r="J138" s="27"/>
      <c r="K138" s="27"/>
      <c r="L138" s="27"/>
      <c r="M138" s="47">
        <f>$V$18</f>
        <v>68250</v>
      </c>
      <c r="N138" s="47">
        <f>$V$18</f>
        <v>68250</v>
      </c>
      <c r="O138" s="47">
        <f>$V$18</f>
        <v>68250</v>
      </c>
      <c r="P138" s="47">
        <f>$V$18*1.1</f>
        <v>75075</v>
      </c>
      <c r="Q138" s="28">
        <f>SUM(E138:L138,M138,N138,O138,P138)</f>
        <v>279825</v>
      </c>
    </row>
    <row r="139" spans="1:17" x14ac:dyDescent="0.25">
      <c r="A139" s="8">
        <v>55</v>
      </c>
      <c r="B139" s="15" t="s">
        <v>140</v>
      </c>
      <c r="C139" s="8">
        <v>10</v>
      </c>
      <c r="D139" s="11"/>
      <c r="E139" s="27">
        <v>0</v>
      </c>
      <c r="F139" s="27">
        <v>0</v>
      </c>
      <c r="G139" s="27">
        <f>$V$19</f>
        <v>68250</v>
      </c>
      <c r="H139" s="27">
        <f>$V$19</f>
        <v>68250</v>
      </c>
      <c r="I139" s="27">
        <f>$V$19</f>
        <v>68250</v>
      </c>
      <c r="J139" s="27">
        <f>$V$19</f>
        <v>68250</v>
      </c>
      <c r="K139" s="27">
        <f>$V$19</f>
        <v>68250</v>
      </c>
      <c r="L139" s="27">
        <f>$V$19</f>
        <v>68250</v>
      </c>
      <c r="M139" s="47">
        <f>$V$19</f>
        <v>68250</v>
      </c>
      <c r="N139" s="47">
        <f>$V$19</f>
        <v>68250</v>
      </c>
      <c r="O139" s="47">
        <f>$V$19</f>
        <v>68250</v>
      </c>
      <c r="P139" s="47">
        <f>$V$19*1.1</f>
        <v>75075</v>
      </c>
      <c r="Q139" s="28">
        <f>SUM(E139:L139,M139,N139,O139,P139)</f>
        <v>689325</v>
      </c>
    </row>
    <row r="140" spans="1:17" x14ac:dyDescent="0.25">
      <c r="A140" s="8">
        <v>56</v>
      </c>
      <c r="B140" s="15" t="s">
        <v>140</v>
      </c>
      <c r="C140" s="8">
        <v>10</v>
      </c>
      <c r="D140" s="11"/>
      <c r="E140" s="27">
        <v>0</v>
      </c>
      <c r="F140" s="27">
        <v>0</v>
      </c>
      <c r="G140" s="27">
        <f>$V$19</f>
        <v>68250</v>
      </c>
      <c r="H140" s="27">
        <f>$V$19</f>
        <v>68250</v>
      </c>
      <c r="I140" s="27">
        <f>$V$19</f>
        <v>68250</v>
      </c>
      <c r="J140" s="27">
        <f>$V$19</f>
        <v>68250</v>
      </c>
      <c r="K140" s="27">
        <f>$V$19</f>
        <v>68250</v>
      </c>
      <c r="L140" s="27">
        <f>$V$19</f>
        <v>68250</v>
      </c>
      <c r="M140" s="47">
        <f>$V$19</f>
        <v>68250</v>
      </c>
      <c r="N140" s="47">
        <f>$V$19</f>
        <v>68250</v>
      </c>
      <c r="O140" s="47">
        <f>$V$19</f>
        <v>68250</v>
      </c>
      <c r="P140" s="47">
        <f>$V$19*1.1</f>
        <v>75075</v>
      </c>
      <c r="Q140" s="28">
        <f>SUM(E140:L140,M140,N140,O140,P140)</f>
        <v>689325</v>
      </c>
    </row>
    <row r="141" spans="1:17" x14ac:dyDescent="0.25">
      <c r="A141" s="8">
        <v>57</v>
      </c>
      <c r="B141" s="15" t="s">
        <v>140</v>
      </c>
      <c r="C141" s="8">
        <v>10</v>
      </c>
      <c r="D141" s="11"/>
      <c r="E141" s="27">
        <v>0</v>
      </c>
      <c r="F141" s="27">
        <v>0</v>
      </c>
      <c r="G141" s="27">
        <f>$V$19</f>
        <v>68250</v>
      </c>
      <c r="H141" s="27">
        <f>$V$19</f>
        <v>68250</v>
      </c>
      <c r="I141" s="27">
        <f>$V$19</f>
        <v>68250</v>
      </c>
      <c r="J141" s="27">
        <f>$V$19</f>
        <v>68250</v>
      </c>
      <c r="K141" s="27">
        <f>$V$19</f>
        <v>68250</v>
      </c>
      <c r="L141" s="27">
        <f>$V$19</f>
        <v>68250</v>
      </c>
      <c r="M141" s="47">
        <f>$V$19</f>
        <v>68250</v>
      </c>
      <c r="N141" s="47">
        <f>$V$19</f>
        <v>68250</v>
      </c>
      <c r="O141" s="47">
        <f>$V$19</f>
        <v>68250</v>
      </c>
      <c r="P141" s="47">
        <f>$V$19*1.1</f>
        <v>75075</v>
      </c>
      <c r="Q141" s="28">
        <f>SUM(E141:L141,M141,N141,O141,P141)</f>
        <v>689325</v>
      </c>
    </row>
    <row r="142" spans="1:17" x14ac:dyDescent="0.25">
      <c r="A142" s="8">
        <v>58</v>
      </c>
      <c r="B142" s="24" t="s">
        <v>141</v>
      </c>
      <c r="C142" s="8">
        <v>10</v>
      </c>
      <c r="D142" s="11"/>
      <c r="E142" s="27">
        <v>0</v>
      </c>
      <c r="F142" s="27">
        <v>0</v>
      </c>
      <c r="G142" s="27"/>
      <c r="H142" s="27"/>
      <c r="I142" s="27"/>
      <c r="J142" s="27"/>
      <c r="K142" s="27"/>
      <c r="L142" s="27"/>
      <c r="M142" s="47">
        <f>$V$17</f>
        <v>65000</v>
      </c>
      <c r="N142" s="47">
        <f>$V$17</f>
        <v>65000</v>
      </c>
      <c r="O142" s="47">
        <f>$V$17</f>
        <v>65000</v>
      </c>
      <c r="P142" s="47">
        <f>$V$17*1.1</f>
        <v>71500</v>
      </c>
      <c r="Q142" s="28">
        <f>SUM(E142:L142,M142,N142,O142,P142)</f>
        <v>266500</v>
      </c>
    </row>
    <row r="143" spans="1:17" x14ac:dyDescent="0.25">
      <c r="A143" s="8">
        <v>59</v>
      </c>
      <c r="B143" s="24" t="s">
        <v>141</v>
      </c>
      <c r="C143" s="8">
        <v>10</v>
      </c>
      <c r="D143" s="11"/>
      <c r="E143" s="27">
        <v>0</v>
      </c>
      <c r="F143" s="27">
        <v>0</v>
      </c>
      <c r="G143" s="27"/>
      <c r="H143" s="27"/>
      <c r="I143" s="27"/>
      <c r="J143" s="27"/>
      <c r="K143" s="27"/>
      <c r="L143" s="27"/>
      <c r="M143" s="47">
        <f>$V$17</f>
        <v>65000</v>
      </c>
      <c r="N143" s="47">
        <f>$V$17</f>
        <v>65000</v>
      </c>
      <c r="O143" s="47">
        <f>$V$17</f>
        <v>65000</v>
      </c>
      <c r="P143" s="47">
        <f>$V$17*1.1</f>
        <v>71500</v>
      </c>
      <c r="Q143" s="28">
        <f>SUM(E143:L143,M143,N143,O143,P143)</f>
        <v>266500</v>
      </c>
    </row>
    <row r="144" spans="1:17" x14ac:dyDescent="0.25">
      <c r="A144" s="8">
        <v>60</v>
      </c>
      <c r="B144" s="24" t="s">
        <v>141</v>
      </c>
      <c r="C144" s="8">
        <v>10</v>
      </c>
      <c r="D144" s="5"/>
      <c r="E144" s="27">
        <v>0</v>
      </c>
      <c r="F144" s="27">
        <v>0</v>
      </c>
      <c r="G144" s="27"/>
      <c r="H144" s="27"/>
      <c r="I144" s="27"/>
      <c r="J144" s="27"/>
      <c r="K144" s="27"/>
      <c r="L144" s="27"/>
      <c r="M144" s="47">
        <f>$V$17</f>
        <v>65000</v>
      </c>
      <c r="N144" s="47">
        <f>$V$17</f>
        <v>65000</v>
      </c>
      <c r="O144" s="47">
        <f>$V$17</f>
        <v>65000</v>
      </c>
      <c r="P144" s="47">
        <f>$V$17*1.1</f>
        <v>71500</v>
      </c>
      <c r="Q144" s="28">
        <f>SUM(E144:L144,M144,N144,O144,P144)</f>
        <v>266500</v>
      </c>
    </row>
    <row r="145" spans="1:17" x14ac:dyDescent="0.25">
      <c r="A145" s="8">
        <v>61</v>
      </c>
      <c r="B145" s="8" t="s">
        <v>138</v>
      </c>
      <c r="C145" s="8">
        <v>10</v>
      </c>
      <c r="D145" s="5"/>
      <c r="E145" s="27">
        <v>0</v>
      </c>
      <c r="F145" s="27">
        <v>0</v>
      </c>
      <c r="G145" s="27">
        <f>$V$4</f>
        <v>70000</v>
      </c>
      <c r="H145" s="27">
        <f>$V$4</f>
        <v>70000</v>
      </c>
      <c r="I145" s="27">
        <f>$V$4</f>
        <v>70000</v>
      </c>
      <c r="J145" s="27">
        <f>$V$4</f>
        <v>70000</v>
      </c>
      <c r="K145" s="27">
        <f>$V$4</f>
        <v>70000</v>
      </c>
      <c r="L145" s="27">
        <f>$V$4</f>
        <v>70000</v>
      </c>
      <c r="M145" s="47">
        <f>$V$4</f>
        <v>70000</v>
      </c>
      <c r="N145" s="47">
        <f>$V$4</f>
        <v>70000</v>
      </c>
      <c r="O145" s="47">
        <f>$V$4</f>
        <v>70000</v>
      </c>
      <c r="P145" s="47">
        <f>$V$4*1.1</f>
        <v>77000</v>
      </c>
      <c r="Q145" s="28">
        <f>SUM(E145:L145,M145,N145,O145,P145)</f>
        <v>707000</v>
      </c>
    </row>
    <row r="146" spans="1:17" x14ac:dyDescent="0.25">
      <c r="A146" s="8">
        <v>62</v>
      </c>
      <c r="B146" s="8" t="s">
        <v>138</v>
      </c>
      <c r="C146" s="8">
        <v>10</v>
      </c>
      <c r="D146" s="5"/>
      <c r="E146" s="27">
        <v>0</v>
      </c>
      <c r="F146" s="27">
        <v>0</v>
      </c>
      <c r="G146" s="27">
        <f>$V$4</f>
        <v>70000</v>
      </c>
      <c r="H146" s="27">
        <f>$V$4</f>
        <v>70000</v>
      </c>
      <c r="I146" s="27">
        <f>$V$4</f>
        <v>70000</v>
      </c>
      <c r="J146" s="27">
        <f>$V$4</f>
        <v>70000</v>
      </c>
      <c r="K146" s="27">
        <f>$V$4</f>
        <v>70000</v>
      </c>
      <c r="L146" s="27">
        <f>$V$4</f>
        <v>70000</v>
      </c>
      <c r="M146" s="47">
        <f>$V$4</f>
        <v>70000</v>
      </c>
      <c r="N146" s="47">
        <f>$V$4</f>
        <v>70000</v>
      </c>
      <c r="O146" s="47">
        <f>$V$4</f>
        <v>70000</v>
      </c>
      <c r="P146" s="47">
        <f>$V$4*1.1</f>
        <v>77000</v>
      </c>
      <c r="Q146" s="28">
        <f>SUM(E146:L146,M146,N146,O146,P146)</f>
        <v>707000</v>
      </c>
    </row>
    <row r="147" spans="1:17" x14ac:dyDescent="0.25">
      <c r="A147" s="8">
        <v>63</v>
      </c>
      <c r="B147" s="8" t="s">
        <v>138</v>
      </c>
      <c r="C147" s="8">
        <v>10</v>
      </c>
      <c r="D147" s="5"/>
      <c r="E147" s="27">
        <v>0</v>
      </c>
      <c r="F147" s="27">
        <v>0</v>
      </c>
      <c r="G147" s="27"/>
      <c r="H147" s="27"/>
      <c r="I147" s="27"/>
      <c r="J147" s="27"/>
      <c r="K147" s="27"/>
      <c r="L147" s="27"/>
      <c r="M147" s="47">
        <f>$V$4</f>
        <v>70000</v>
      </c>
      <c r="N147" s="47">
        <f>$V$4</f>
        <v>70000</v>
      </c>
      <c r="O147" s="47">
        <f>$V$4</f>
        <v>70000</v>
      </c>
      <c r="P147" s="47">
        <f>$V$4*1.1</f>
        <v>77000</v>
      </c>
      <c r="Q147" s="28">
        <f>SUM(E147:L147,M147,N147,O147,P147)</f>
        <v>287000</v>
      </c>
    </row>
    <row r="148" spans="1:17" x14ac:dyDescent="0.25">
      <c r="A148" s="8">
        <v>64</v>
      </c>
      <c r="B148" s="16" t="s">
        <v>145</v>
      </c>
      <c r="C148" s="8">
        <v>10</v>
      </c>
      <c r="D148" s="5"/>
      <c r="E148" s="27">
        <v>0</v>
      </c>
      <c r="F148" s="27">
        <v>0</v>
      </c>
      <c r="G148" s="27">
        <f>$V$6</f>
        <v>68250</v>
      </c>
      <c r="H148" s="27">
        <f>$V$6</f>
        <v>68250</v>
      </c>
      <c r="I148" s="27">
        <f>$V$6</f>
        <v>68250</v>
      </c>
      <c r="J148" s="27">
        <f>$V$6</f>
        <v>68250</v>
      </c>
      <c r="K148" s="27">
        <f>$V$6</f>
        <v>68250</v>
      </c>
      <c r="L148" s="27">
        <f>$V$6</f>
        <v>68250</v>
      </c>
      <c r="M148" s="47">
        <f>$V$6</f>
        <v>68250</v>
      </c>
      <c r="N148" s="47">
        <f>$V$6</f>
        <v>68250</v>
      </c>
      <c r="O148" s="47">
        <f>$V$6</f>
        <v>68250</v>
      </c>
      <c r="P148" s="47">
        <f>$V$6*1.1</f>
        <v>75075</v>
      </c>
      <c r="Q148" s="28">
        <f>SUM(E148:L148,M148,N148,O148,P148)</f>
        <v>689325</v>
      </c>
    </row>
    <row r="149" spans="1:17" ht="30" x14ac:dyDescent="0.25">
      <c r="A149" s="8">
        <v>65</v>
      </c>
      <c r="B149" s="9" t="s">
        <v>148</v>
      </c>
      <c r="C149" s="8">
        <v>8</v>
      </c>
      <c r="D149" s="5" t="s">
        <v>159</v>
      </c>
      <c r="E149" s="27">
        <f>$V$21</f>
        <v>100000</v>
      </c>
      <c r="F149" s="27">
        <v>195000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28">
        <f>SUM(E149:L149,M149,N149,O149,P149)</f>
        <v>295000</v>
      </c>
    </row>
    <row r="150" spans="1:17" x14ac:dyDescent="0.25">
      <c r="A150" s="8">
        <v>66</v>
      </c>
      <c r="B150" s="9" t="s">
        <v>147</v>
      </c>
      <c r="C150" s="9">
        <v>8</v>
      </c>
      <c r="D150" s="5"/>
      <c r="E150" s="27">
        <v>0</v>
      </c>
      <c r="F150" s="27">
        <v>0</v>
      </c>
      <c r="G150" s="27">
        <f>$V$20</f>
        <v>70000</v>
      </c>
      <c r="H150" s="27">
        <f>$V$20</f>
        <v>70000</v>
      </c>
      <c r="I150" s="27">
        <f>$V$20</f>
        <v>70000</v>
      </c>
      <c r="J150" s="27">
        <f>$V$20</f>
        <v>70000</v>
      </c>
      <c r="K150" s="27">
        <f>$V$20</f>
        <v>70000</v>
      </c>
      <c r="L150" s="27">
        <f>$V$20</f>
        <v>70000</v>
      </c>
      <c r="M150" s="47">
        <f>$V$20</f>
        <v>70000</v>
      </c>
      <c r="N150" s="47">
        <f>$V$20</f>
        <v>70000</v>
      </c>
      <c r="O150" s="47">
        <f>$V$20</f>
        <v>70000</v>
      </c>
      <c r="P150" s="47">
        <f>$V$20*1.1</f>
        <v>77000</v>
      </c>
      <c r="Q150" s="28">
        <f>SUM(E150:L150,M150,N150,O150,P150)</f>
        <v>707000</v>
      </c>
    </row>
    <row r="151" spans="1:17" x14ac:dyDescent="0.25">
      <c r="A151" s="8">
        <v>67</v>
      </c>
      <c r="B151" s="9" t="s">
        <v>168</v>
      </c>
      <c r="C151" s="9">
        <v>8</v>
      </c>
      <c r="D151" s="5"/>
      <c r="E151" s="27">
        <v>0</v>
      </c>
      <c r="F151" s="27">
        <v>0</v>
      </c>
      <c r="G151" s="27"/>
      <c r="H151" s="27"/>
      <c r="I151" s="27"/>
      <c r="J151" s="27"/>
      <c r="K151" s="27"/>
      <c r="L151" s="27"/>
      <c r="M151" s="47"/>
      <c r="N151" s="47"/>
      <c r="O151" s="47"/>
      <c r="P151" s="47"/>
      <c r="Q151" s="28">
        <f>SUM(E151:L151,M151,N151,O151,P151)</f>
        <v>0</v>
      </c>
    </row>
    <row r="152" spans="1:17" x14ac:dyDescent="0.25">
      <c r="A152" s="8">
        <v>68</v>
      </c>
      <c r="B152" s="9" t="s">
        <v>168</v>
      </c>
      <c r="C152" s="9">
        <v>8</v>
      </c>
      <c r="D152" s="5"/>
      <c r="E152" s="27">
        <v>0</v>
      </c>
      <c r="F152" s="27">
        <v>0</v>
      </c>
      <c r="G152" s="27"/>
      <c r="H152" s="27"/>
      <c r="I152" s="27"/>
      <c r="J152" s="27"/>
      <c r="K152" s="27"/>
      <c r="L152" s="27"/>
      <c r="M152" s="47"/>
      <c r="N152" s="47"/>
      <c r="O152" s="47"/>
      <c r="P152" s="47"/>
      <c r="Q152" s="28">
        <f>SUM(E152:L152,M152,N152,O152,P152)</f>
        <v>0</v>
      </c>
    </row>
    <row r="153" spans="1:17" x14ac:dyDescent="0.25">
      <c r="A153" s="8">
        <v>69</v>
      </c>
      <c r="B153" s="9" t="s">
        <v>168</v>
      </c>
      <c r="C153" s="9">
        <v>8</v>
      </c>
      <c r="D153" s="5"/>
      <c r="E153" s="27">
        <v>0</v>
      </c>
      <c r="F153" s="27">
        <v>0</v>
      </c>
      <c r="G153" s="27"/>
      <c r="H153" s="27"/>
      <c r="I153" s="27"/>
      <c r="J153" s="27"/>
      <c r="K153" s="27"/>
      <c r="L153" s="27"/>
      <c r="M153" s="47"/>
      <c r="N153" s="47"/>
      <c r="O153" s="47"/>
      <c r="P153" s="47"/>
      <c r="Q153" s="28">
        <f>SUM(E153:L153,M153,N153,O153,P153)</f>
        <v>0</v>
      </c>
    </row>
    <row r="154" spans="1:17" x14ac:dyDescent="0.25">
      <c r="A154" s="8">
        <v>70</v>
      </c>
      <c r="B154" s="9" t="s">
        <v>170</v>
      </c>
      <c r="C154" s="9">
        <v>8</v>
      </c>
      <c r="D154" s="5"/>
      <c r="E154" s="27">
        <v>0</v>
      </c>
      <c r="F154" s="27">
        <v>0</v>
      </c>
      <c r="G154" s="27"/>
      <c r="H154" s="27"/>
      <c r="I154" s="27"/>
      <c r="J154" s="27"/>
      <c r="K154" s="27"/>
      <c r="L154" s="27"/>
      <c r="M154" s="47"/>
      <c r="N154" s="47"/>
      <c r="O154" s="47"/>
      <c r="P154" s="47"/>
      <c r="Q154" s="28">
        <f>SUM(E154:L154,M154,N154,O154,P154)</f>
        <v>0</v>
      </c>
    </row>
    <row r="155" spans="1:17" ht="15" customHeight="1" x14ac:dyDescent="0.25">
      <c r="A155" s="8">
        <v>71</v>
      </c>
      <c r="B155" s="16" t="s">
        <v>146</v>
      </c>
      <c r="C155" s="8">
        <v>10</v>
      </c>
      <c r="D155" s="5" t="s">
        <v>157</v>
      </c>
      <c r="E155" s="27">
        <v>68250</v>
      </c>
      <c r="F155" s="27">
        <v>92100</v>
      </c>
      <c r="G155" s="27"/>
      <c r="H155" s="27"/>
      <c r="I155" s="27"/>
      <c r="J155" s="27"/>
      <c r="K155" s="27"/>
      <c r="L155" s="27"/>
      <c r="M155" s="47"/>
      <c r="N155" s="47"/>
      <c r="O155" s="47"/>
      <c r="P155" s="47"/>
      <c r="Q155" s="28">
        <f>SUM(E155:L155,M155,N155,O155,P155)</f>
        <v>160350</v>
      </c>
    </row>
    <row r="156" spans="1:17" ht="15" customHeight="1" x14ac:dyDescent="0.25">
      <c r="A156" s="8">
        <v>72</v>
      </c>
      <c r="B156" s="16" t="s">
        <v>146</v>
      </c>
      <c r="C156" s="9">
        <v>10</v>
      </c>
      <c r="D156" s="5" t="s">
        <v>158</v>
      </c>
      <c r="E156" s="27">
        <v>68250</v>
      </c>
      <c r="F156" s="27">
        <v>112600</v>
      </c>
      <c r="G156" s="27"/>
      <c r="H156" s="27"/>
      <c r="I156" s="27"/>
      <c r="J156" s="27"/>
      <c r="K156" s="27"/>
      <c r="L156" s="27"/>
      <c r="M156" s="47"/>
      <c r="N156" s="47"/>
      <c r="O156" s="47"/>
      <c r="P156" s="47"/>
      <c r="Q156" s="28">
        <f>SUM(E156:L156,M156,N156,O156,P156)</f>
        <v>180850</v>
      </c>
    </row>
    <row r="157" spans="1:17" x14ac:dyDescent="0.25">
      <c r="D157" s="6" t="s">
        <v>15</v>
      </c>
      <c r="E157" s="43">
        <f>SUM(E85:E156)</f>
        <v>3316350</v>
      </c>
      <c r="F157" s="43">
        <f t="shared" ref="F157:P157" si="16">SUM(F85:F156)</f>
        <v>3539550</v>
      </c>
      <c r="G157" s="43">
        <f t="shared" si="16"/>
        <v>4250750</v>
      </c>
      <c r="H157" s="43">
        <f t="shared" si="16"/>
        <v>4250750</v>
      </c>
      <c r="I157" s="43">
        <f t="shared" si="16"/>
        <v>4265750</v>
      </c>
      <c r="J157" s="43">
        <f t="shared" si="16"/>
        <v>4280750</v>
      </c>
      <c r="K157" s="43">
        <f t="shared" si="16"/>
        <v>4280750</v>
      </c>
      <c r="L157" s="43">
        <f t="shared" si="16"/>
        <v>4280750</v>
      </c>
      <c r="M157" s="49">
        <f t="shared" si="16"/>
        <v>4682250</v>
      </c>
      <c r="N157" s="49">
        <f t="shared" si="16"/>
        <v>4682250</v>
      </c>
      <c r="O157" s="49">
        <f t="shared" si="16"/>
        <v>4682250</v>
      </c>
      <c r="P157" s="49">
        <f t="shared" si="16"/>
        <v>5150475</v>
      </c>
      <c r="Q157" s="43">
        <f>SUM(Q85:Q156)</f>
        <v>51662625</v>
      </c>
    </row>
    <row r="162" spans="1:19" x14ac:dyDescent="0.25">
      <c r="B162" s="65" t="s">
        <v>16</v>
      </c>
      <c r="C162" s="65" t="s">
        <v>153</v>
      </c>
      <c r="D162" s="67" t="s">
        <v>1</v>
      </c>
      <c r="E162" s="68" t="s">
        <v>71</v>
      </c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0"/>
      <c r="Q162" s="71" t="s">
        <v>187</v>
      </c>
      <c r="R162" s="8"/>
    </row>
    <row r="163" spans="1:19" x14ac:dyDescent="0.25">
      <c r="B163" s="66"/>
      <c r="C163" s="66"/>
      <c r="D163" s="67"/>
      <c r="E163" s="3" t="s">
        <v>4</v>
      </c>
      <c r="F163" s="3" t="s">
        <v>5</v>
      </c>
      <c r="G163" s="3" t="s">
        <v>6</v>
      </c>
      <c r="H163" s="3" t="s">
        <v>7</v>
      </c>
      <c r="I163" s="3" t="s">
        <v>8</v>
      </c>
      <c r="J163" s="3" t="s">
        <v>9</v>
      </c>
      <c r="K163" s="3" t="s">
        <v>10</v>
      </c>
      <c r="L163" s="3" t="s">
        <v>11</v>
      </c>
      <c r="M163" s="3" t="s">
        <v>183</v>
      </c>
      <c r="N163" s="3" t="s">
        <v>184</v>
      </c>
      <c r="O163" s="3" t="s">
        <v>185</v>
      </c>
      <c r="P163" s="3" t="s">
        <v>186</v>
      </c>
      <c r="Q163" s="72"/>
      <c r="R163" s="26" t="s">
        <v>149</v>
      </c>
    </row>
    <row r="164" spans="1:19" x14ac:dyDescent="0.25">
      <c r="A164">
        <v>1</v>
      </c>
      <c r="B164" s="16" t="s">
        <v>146</v>
      </c>
      <c r="C164" s="8">
        <v>12</v>
      </c>
      <c r="D164" s="9" t="s">
        <v>41</v>
      </c>
      <c r="E164" s="27">
        <v>44750</v>
      </c>
      <c r="F164" s="27">
        <v>116750</v>
      </c>
      <c r="G164" s="27">
        <f>$Z$5+$X$5*$AA$5+$AD$5</f>
        <v>51750</v>
      </c>
      <c r="H164" s="27">
        <f>$Z$5+$X$5*$AA$5+$AD$5</f>
        <v>51750</v>
      </c>
      <c r="I164" s="27">
        <f>$Z$5+$X$5*$AA$5+$AD$5</f>
        <v>51750</v>
      </c>
      <c r="J164" s="27">
        <f>$Z$5+$X$5*$AA$5+$AD$5</f>
        <v>51750</v>
      </c>
      <c r="K164" s="27">
        <f>$Z$5+$X$5*$AA$5+$AD$5</f>
        <v>51750</v>
      </c>
      <c r="L164" s="27">
        <f>$Z$5+$X$5*$AA$5+$AD$5</f>
        <v>51750</v>
      </c>
      <c r="M164" s="47">
        <f>$Z$5+$X$5*$AA$5+$AD$5</f>
        <v>51750</v>
      </c>
      <c r="N164" s="47">
        <f>$Z$5+$X$5*$AA$5+$AD$5</f>
        <v>51750</v>
      </c>
      <c r="O164" s="47">
        <f>$Z$5+$X$5*$AA$5+$AD$5</f>
        <v>51750</v>
      </c>
      <c r="P164" s="47">
        <f>$Z$5+$X$5*$AA$5+$AD$5</f>
        <v>51750</v>
      </c>
      <c r="Q164" s="28">
        <f>SUM(E164:L164,M164,N164,O164,P164)</f>
        <v>679000</v>
      </c>
      <c r="R164" s="42">
        <v>50000</v>
      </c>
      <c r="S164" s="41"/>
    </row>
    <row r="165" spans="1:19" x14ac:dyDescent="0.25">
      <c r="A165">
        <v>2</v>
      </c>
      <c r="B165" s="14" t="s">
        <v>65</v>
      </c>
      <c r="C165" s="8">
        <v>12</v>
      </c>
      <c r="D165" s="9" t="s">
        <v>17</v>
      </c>
      <c r="E165" s="27">
        <v>51750</v>
      </c>
      <c r="F165" s="27">
        <v>123750</v>
      </c>
      <c r="G165" s="27">
        <f>$Z$7+$X$7*$AA$7+$AD$7++$AE$7</f>
        <v>58750</v>
      </c>
      <c r="H165" s="27">
        <f>$Z$7+$X$7*$AA$7+$AD$7++$AE$7</f>
        <v>58750</v>
      </c>
      <c r="I165" s="27">
        <f>$Z$7+$X$7*$AA$7+$AD$7++$AE$7</f>
        <v>58750</v>
      </c>
      <c r="J165" s="27">
        <f>$Z$7+$X$7*$AA$7+$AD$7++$AE$7</f>
        <v>58750</v>
      </c>
      <c r="K165" s="27">
        <f>$Z$7+$X$7*$AA$7+$AD$7++$AE$7</f>
        <v>58750</v>
      </c>
      <c r="L165" s="27">
        <f>$Z$7+$X$7*$AA$7+$AD$7++$AE$7</f>
        <v>58750</v>
      </c>
      <c r="M165" s="47">
        <f>$Z$7+$X$7*$AA$7+$AD$7++$AE$7</f>
        <v>58750</v>
      </c>
      <c r="N165" s="47">
        <f>$Z$7+$X$7*$AA$7+$AD$7++$AE$7</f>
        <v>58750</v>
      </c>
      <c r="O165" s="47">
        <f>$Z$7+$X$7*$AA$7+$AD$7++$AE$7</f>
        <v>58750</v>
      </c>
      <c r="P165" s="47">
        <f>$Z$7+$X$7*$AA$7+$AD$7++$AE$7</f>
        <v>58750</v>
      </c>
      <c r="Q165" s="28">
        <f>SUM(E165:L165,M165,N165,O165,P165)</f>
        <v>763000</v>
      </c>
      <c r="R165" s="42">
        <v>50000</v>
      </c>
      <c r="S165" s="41"/>
    </row>
    <row r="166" spans="1:19" x14ac:dyDescent="0.25">
      <c r="A166">
        <v>3</v>
      </c>
      <c r="B166" s="16" t="s">
        <v>146</v>
      </c>
      <c r="C166" s="8">
        <v>10</v>
      </c>
      <c r="D166" s="9" t="s">
        <v>18</v>
      </c>
      <c r="E166" s="27">
        <v>25750</v>
      </c>
      <c r="F166" s="27">
        <v>98750</v>
      </c>
      <c r="G166" s="27">
        <f>$Y$5+$W$5*$AA$5+$AC$5</f>
        <v>31750</v>
      </c>
      <c r="H166" s="27">
        <f>$Y$5+$W$5*$AA$5+$AC$5</f>
        <v>31750</v>
      </c>
      <c r="I166" s="27">
        <f>$Y$5+$W$5*$AA$5+$AC$5</f>
        <v>31750</v>
      </c>
      <c r="J166" s="27">
        <f>$Y$5+$W$5*$AA$5+$AC$5</f>
        <v>31750</v>
      </c>
      <c r="K166" s="27">
        <f>$Y$5+$W$5*$AA$5+$AC$5</f>
        <v>31750</v>
      </c>
      <c r="L166" s="27">
        <f>$Y$5+$W$5*$AA$5+$AC$5</f>
        <v>31750</v>
      </c>
      <c r="M166" s="47">
        <f>$Y$5+$W$5*$AA$5+$AC$5</f>
        <v>31750</v>
      </c>
      <c r="N166" s="47">
        <f>$Y$5+$W$5*$AA$5+$AC$5</f>
        <v>31750</v>
      </c>
      <c r="O166" s="47">
        <f>$Y$5+$W$5*$AA$5+$AC$5</f>
        <v>31750</v>
      </c>
      <c r="P166" s="47">
        <f>$Y$5+$W$5*$AA$5+$AC$5</f>
        <v>31750</v>
      </c>
      <c r="Q166" s="28">
        <f>SUM(E166:L166,M166,N166,O166,P166)</f>
        <v>442000</v>
      </c>
      <c r="R166" s="42">
        <v>50000</v>
      </c>
      <c r="S166" s="41"/>
    </row>
    <row r="167" spans="1:19" x14ac:dyDescent="0.25">
      <c r="A167">
        <v>4</v>
      </c>
      <c r="B167" s="16" t="s">
        <v>146</v>
      </c>
      <c r="C167" s="8">
        <v>12</v>
      </c>
      <c r="D167" s="9" t="s">
        <v>42</v>
      </c>
      <c r="E167" s="27">
        <v>41750</v>
      </c>
      <c r="F167" s="27">
        <v>107750</v>
      </c>
      <c r="G167" s="27">
        <f>$Z$5+$X$5*$AA$5+$AD$5</f>
        <v>51750</v>
      </c>
      <c r="H167" s="27">
        <f>$Z$5+$X$5*$AA$5+$AD$5</f>
        <v>51750</v>
      </c>
      <c r="I167" s="27">
        <f>$Z$5+$X$5*$AA$5+$AD$5</f>
        <v>51750</v>
      </c>
      <c r="J167" s="27">
        <f>$Z$5+$X$5*$AA$5+$AD$5</f>
        <v>51750</v>
      </c>
      <c r="K167" s="27">
        <f>$Z$5+$X$5*$AA$5+$AD$5</f>
        <v>51750</v>
      </c>
      <c r="L167" s="27">
        <f>$Z$5+$X$5*$AA$5+$AD$5</f>
        <v>51750</v>
      </c>
      <c r="M167" s="47">
        <f>$Z$5+$X$5*$AA$5+$AD$5</f>
        <v>51750</v>
      </c>
      <c r="N167" s="47">
        <f>$Z$5+$X$5*$AA$5+$AD$5</f>
        <v>51750</v>
      </c>
      <c r="O167" s="47">
        <f>$Z$5+$X$5*$AA$5+$AD$5</f>
        <v>51750</v>
      </c>
      <c r="P167" s="47">
        <f>$Z$5+$X$5*$AA$5+$AD$5</f>
        <v>51750</v>
      </c>
      <c r="Q167" s="28">
        <f>SUM(E167:L167,M167,N167,O167,P167)</f>
        <v>667000</v>
      </c>
      <c r="R167" s="42">
        <v>50000</v>
      </c>
      <c r="S167" s="41"/>
    </row>
    <row r="168" spans="1:19" x14ac:dyDescent="0.25">
      <c r="A168">
        <v>5</v>
      </c>
      <c r="B168" s="14" t="s">
        <v>63</v>
      </c>
      <c r="C168" s="8">
        <v>10</v>
      </c>
      <c r="D168" s="10" t="s">
        <v>43</v>
      </c>
      <c r="E168" s="27">
        <v>32750</v>
      </c>
      <c r="F168" s="27">
        <v>105750</v>
      </c>
      <c r="G168" s="27">
        <f>$Y$8+$W$8*$AA$8+$AC$8+$AE$8</f>
        <v>38750</v>
      </c>
      <c r="H168" s="27">
        <f>$Y$8+$W$8*$AA$8+$AC$8+$AE$8</f>
        <v>38750</v>
      </c>
      <c r="I168" s="27">
        <f>$Y$8+$W$8*$AA$8+$AC$8+$AE$8</f>
        <v>38750</v>
      </c>
      <c r="J168" s="27">
        <f>$Y$8+$W$8*$AA$8+$AC$8+$AE$8</f>
        <v>38750</v>
      </c>
      <c r="K168" s="27">
        <f>$Y$8+$W$8*$AA$8+$AC$8+$AE$8</f>
        <v>38750</v>
      </c>
      <c r="L168" s="27">
        <f>$Y$8+$W$8*$AA$8+$AC$8+$AE$8</f>
        <v>38750</v>
      </c>
      <c r="M168" s="47">
        <f>$Y$8+$W$8*$AA$8+$AC$8+$AE$8</f>
        <v>38750</v>
      </c>
      <c r="N168" s="47">
        <f>$Y$8+$W$8*$AA$8+$AC$8+$AE$8</f>
        <v>38750</v>
      </c>
      <c r="O168" s="47">
        <f>$Y$8+$W$8*$AA$8+$AC$8+$AE$8</f>
        <v>38750</v>
      </c>
      <c r="P168" s="47">
        <f>$Y$8+$W$8*$AA$8+$AC$8+$AE$8</f>
        <v>38750</v>
      </c>
      <c r="Q168" s="28">
        <f>SUM(E168:L168,M168,N168,O168,P168)</f>
        <v>526000</v>
      </c>
      <c r="R168" s="42">
        <v>50000</v>
      </c>
      <c r="S168" s="41"/>
    </row>
    <row r="169" spans="1:19" x14ac:dyDescent="0.25">
      <c r="A169">
        <v>6</v>
      </c>
      <c r="B169" s="16" t="s">
        <v>146</v>
      </c>
      <c r="C169" s="8">
        <v>10</v>
      </c>
      <c r="D169" s="9" t="s">
        <v>19</v>
      </c>
      <c r="E169" s="27">
        <v>25750</v>
      </c>
      <c r="F169" s="27">
        <v>98750</v>
      </c>
      <c r="G169" s="27">
        <f>$Y$5+$W$5*$AA$5+$AC$5</f>
        <v>31750</v>
      </c>
      <c r="H169" s="27">
        <f>$Y$5+$W$5*$AA$5+$AC$5</f>
        <v>31750</v>
      </c>
      <c r="I169" s="27">
        <f>$Y$5+$W$5*$AA$5+$AC$5</f>
        <v>31750</v>
      </c>
      <c r="J169" s="27">
        <f>$Y$5+$W$5*$AA$5+$AC$5</f>
        <v>31750</v>
      </c>
      <c r="K169" s="27">
        <f>$Y$5+$W$5*$AA$5+$AC$5</f>
        <v>31750</v>
      </c>
      <c r="L169" s="27">
        <f>$Y$5+$W$5*$AA$5+$AC$5</f>
        <v>31750</v>
      </c>
      <c r="M169" s="47">
        <f>$Y$5+$W$5*$AA$5+$AC$5</f>
        <v>31750</v>
      </c>
      <c r="N169" s="47">
        <f>$Y$5+$W$5*$AA$5+$AC$5</f>
        <v>31750</v>
      </c>
      <c r="O169" s="47">
        <f>$Y$5+$W$5*$AA$5+$AC$5</f>
        <v>31750</v>
      </c>
      <c r="P169" s="47">
        <f>$Y$5+$W$5*$AA$5+$AC$5</f>
        <v>31750</v>
      </c>
      <c r="Q169" s="28">
        <f>SUM(E169:L169,M169,N169,O169,P169)</f>
        <v>442000</v>
      </c>
      <c r="R169" s="42">
        <v>50000</v>
      </c>
      <c r="S169" s="41"/>
    </row>
    <row r="170" spans="1:19" x14ac:dyDescent="0.25">
      <c r="A170">
        <v>7</v>
      </c>
      <c r="B170" s="15" t="s">
        <v>67</v>
      </c>
      <c r="C170" s="8">
        <v>8</v>
      </c>
      <c r="D170" s="10" t="s">
        <v>44</v>
      </c>
      <c r="E170" s="27">
        <v>7750</v>
      </c>
      <c r="F170" s="27">
        <v>79750</v>
      </c>
      <c r="G170" s="27">
        <f>$V$13*$AA$13+$AB$13</f>
        <v>11750</v>
      </c>
      <c r="H170" s="27">
        <f>$V$13*$AA$13+$AB$13</f>
        <v>11750</v>
      </c>
      <c r="I170" s="27">
        <f>$V$13*$AA$13+$AB$13</f>
        <v>11750</v>
      </c>
      <c r="J170" s="27">
        <f>$V$13*$AA$13+$AB$13</f>
        <v>11750</v>
      </c>
      <c r="K170" s="27">
        <f>$V$13*$AA$13+$AB$13</f>
        <v>11750</v>
      </c>
      <c r="L170" s="27">
        <f>$V$13*$AA$13+$AB$13</f>
        <v>11750</v>
      </c>
      <c r="M170" s="47">
        <f>$V$13*$AA$13+$AB$13</f>
        <v>11750</v>
      </c>
      <c r="N170" s="47">
        <f>$V$13*$AA$13+$AB$13</f>
        <v>11750</v>
      </c>
      <c r="O170" s="47">
        <f>$V$13*$AA$13+$AB$13</f>
        <v>11750</v>
      </c>
      <c r="P170" s="47">
        <f>$V$13*$AA$13+$AB$13</f>
        <v>11750</v>
      </c>
      <c r="Q170" s="28">
        <f>SUM(E170:L170,M170,N170,O170,P170)</f>
        <v>205000</v>
      </c>
      <c r="R170" s="42">
        <v>50000</v>
      </c>
      <c r="S170" s="41"/>
    </row>
    <row r="171" spans="1:19" x14ac:dyDescent="0.25">
      <c r="A171">
        <v>8</v>
      </c>
      <c r="B171" s="14" t="s">
        <v>64</v>
      </c>
      <c r="C171" s="8">
        <v>12</v>
      </c>
      <c r="D171" s="11" t="s">
        <v>20</v>
      </c>
      <c r="E171" s="27">
        <v>69750</v>
      </c>
      <c r="F171" s="27">
        <v>137750</v>
      </c>
      <c r="G171" s="27">
        <f>$V$9/21/8*21*14*$AA$9+$AD$9+$AE$9+51188</f>
        <v>77519.25</v>
      </c>
      <c r="H171" s="27">
        <f>$V$9/21/8*21*14*$AA$9+$AD$9+$AE$9+51188</f>
        <v>77519.25</v>
      </c>
      <c r="I171" s="27">
        <f>$V$9/21/8*21*14*$AA$9+$AD$9+$AE$9+51188</f>
        <v>77519.25</v>
      </c>
      <c r="J171" s="27">
        <f>$V$9/21/8*21*14*$AA$9+$AD$9+$AE$9+51188</f>
        <v>77519.25</v>
      </c>
      <c r="K171" s="27">
        <f>$V$9/21/8*21*14*$AA$9+$AD$9+$AE$9+51188</f>
        <v>77519.25</v>
      </c>
      <c r="L171" s="27">
        <f>$V$9/21/8*21*14*$AA$9+$AD$9+$AE$9+51188</f>
        <v>77519.25</v>
      </c>
      <c r="M171" s="47">
        <f>$V$9/21/8*21*14*$AA$9+$AD$9+$AE$9+51188</f>
        <v>77519.25</v>
      </c>
      <c r="N171" s="47">
        <f>$V$9/21/8*21*14*$AA$9+$AD$9+$AE$9+51188</f>
        <v>77519.25</v>
      </c>
      <c r="O171" s="47">
        <f>$V$9/21/8*21*14*$AA$9+$AD$9+$AE$9+51188</f>
        <v>77519.25</v>
      </c>
      <c r="P171" s="47">
        <f>$V$9/21/8*21*14*$AA$9+$AD$9+$AE$9+51188</f>
        <v>77519.25</v>
      </c>
      <c r="Q171" s="28">
        <f>SUM(E171:L171,M171,N171,O171,P171)</f>
        <v>982692.5</v>
      </c>
      <c r="R171" s="42">
        <v>50000</v>
      </c>
      <c r="S171" s="41"/>
    </row>
    <row r="172" spans="1:19" x14ac:dyDescent="0.25">
      <c r="A172">
        <v>9</v>
      </c>
      <c r="B172" s="16" t="s">
        <v>146</v>
      </c>
      <c r="C172" s="8">
        <v>12</v>
      </c>
      <c r="D172" s="11" t="s">
        <v>45</v>
      </c>
      <c r="E172" s="27">
        <v>35750</v>
      </c>
      <c r="F172" s="27">
        <v>107750</v>
      </c>
      <c r="G172" s="27">
        <f>$Z$5+$X$5*$AA$5+$AD$5</f>
        <v>51750</v>
      </c>
      <c r="H172" s="27">
        <f>$Z$5+$X$5*$AA$5+$AD$5</f>
        <v>51750</v>
      </c>
      <c r="I172" s="27">
        <f>$Z$5+$X$5*$AA$5+$AD$5</f>
        <v>51750</v>
      </c>
      <c r="J172" s="27">
        <f>$Z$5+$X$5*$AA$5+$AD$5</f>
        <v>51750</v>
      </c>
      <c r="K172" s="27">
        <f>$Z$5+$X$5*$AA$5+$AD$5</f>
        <v>51750</v>
      </c>
      <c r="L172" s="27">
        <f>$Z$5+$X$5*$AA$5+$AD$5</f>
        <v>51750</v>
      </c>
      <c r="M172" s="47">
        <f>$Z$5+$X$5*$AA$5+$AD$5</f>
        <v>51750</v>
      </c>
      <c r="N172" s="47">
        <f>$Z$5+$X$5*$AA$5+$AD$5</f>
        <v>51750</v>
      </c>
      <c r="O172" s="47">
        <f>$Z$5+$X$5*$AA$5+$AD$5</f>
        <v>51750</v>
      </c>
      <c r="P172" s="47">
        <f>$Z$5+$X$5*$AA$5+$AD$5</f>
        <v>51750</v>
      </c>
      <c r="Q172" s="28">
        <f>SUM(E172:L172,M172,N172,O172,P172)</f>
        <v>661000</v>
      </c>
      <c r="R172" s="42">
        <v>50000</v>
      </c>
      <c r="S172" s="41"/>
    </row>
    <row r="173" spans="1:19" x14ac:dyDescent="0.25">
      <c r="A173">
        <v>10</v>
      </c>
      <c r="B173" s="15" t="s">
        <v>60</v>
      </c>
      <c r="C173" s="8">
        <v>10</v>
      </c>
      <c r="D173" s="9" t="s">
        <v>21</v>
      </c>
      <c r="E173" s="27">
        <v>25750</v>
      </c>
      <c r="F173" s="27">
        <v>98750</v>
      </c>
      <c r="G173" s="27">
        <f>$Y$16+$W$16*$AA$16+$AC$16</f>
        <v>31750</v>
      </c>
      <c r="H173" s="27">
        <f>$Y$16+$W$16*$AA$16+$AC$16</f>
        <v>31750</v>
      </c>
      <c r="I173" s="27">
        <f>$Y$16+$W$16*$AA$16+$AC$16</f>
        <v>31750</v>
      </c>
      <c r="J173" s="27">
        <f>$Y$16+$W$16*$AA$16+$AC$16</f>
        <v>31750</v>
      </c>
      <c r="K173" s="27">
        <f>$Y$16+$W$16*$AA$16+$AC$16</f>
        <v>31750</v>
      </c>
      <c r="L173" s="27">
        <f>$Y$16+$W$16*$AA$16+$AC$16</f>
        <v>31750</v>
      </c>
      <c r="M173" s="47">
        <f>$Y$16+$W$16*$AA$16+$AC$16</f>
        <v>31750</v>
      </c>
      <c r="N173" s="47">
        <f>$Y$16+$W$16*$AA$16+$AC$16</f>
        <v>31750</v>
      </c>
      <c r="O173" s="47">
        <f>$Y$16+$W$16*$AA$16+$AC$16</f>
        <v>31750</v>
      </c>
      <c r="P173" s="47">
        <f>$Y$16+$W$16*$AA$16+$AC$16</f>
        <v>31750</v>
      </c>
      <c r="Q173" s="28">
        <f>SUM(E173:L173,M173,N173,O173,P173)</f>
        <v>442000</v>
      </c>
      <c r="R173" s="42">
        <v>50000</v>
      </c>
      <c r="S173" s="41"/>
    </row>
    <row r="174" spans="1:19" x14ac:dyDescent="0.25">
      <c r="A174">
        <v>11</v>
      </c>
      <c r="B174" s="25" t="s">
        <v>155</v>
      </c>
      <c r="C174" s="8">
        <v>8</v>
      </c>
      <c r="D174" s="9" t="s">
        <v>142</v>
      </c>
      <c r="E174" s="27"/>
      <c r="F174" s="27">
        <v>160000</v>
      </c>
      <c r="G174" s="27">
        <v>30000</v>
      </c>
      <c r="H174" s="27">
        <v>30000</v>
      </c>
      <c r="I174" s="27">
        <v>30000</v>
      </c>
      <c r="J174" s="27">
        <v>30000</v>
      </c>
      <c r="K174" s="27">
        <v>30000</v>
      </c>
      <c r="L174" s="27">
        <v>30000</v>
      </c>
      <c r="M174" s="47">
        <v>30000</v>
      </c>
      <c r="N174" s="47">
        <v>30000</v>
      </c>
      <c r="O174" s="47">
        <v>30000</v>
      </c>
      <c r="P174" s="47">
        <v>30000</v>
      </c>
      <c r="Q174" s="28">
        <f>SUM(E174:L174,M174,N174,O174,P174)</f>
        <v>460000</v>
      </c>
      <c r="R174" s="42">
        <v>100000</v>
      </c>
      <c r="S174" s="41"/>
    </row>
    <row r="175" spans="1:19" x14ac:dyDescent="0.25">
      <c r="A175">
        <v>12</v>
      </c>
      <c r="B175" s="15" t="s">
        <v>67</v>
      </c>
      <c r="C175" s="8">
        <v>10</v>
      </c>
      <c r="D175" s="9" t="s">
        <v>46</v>
      </c>
      <c r="E175" s="27">
        <v>25750</v>
      </c>
      <c r="F175" s="27">
        <v>98750</v>
      </c>
      <c r="G175" s="27">
        <f>$Y$13+$W$13*$AA$13+$AC$13</f>
        <v>31750</v>
      </c>
      <c r="H175" s="27">
        <f>$Y$13+$W$13*$AA$13+$AC$13</f>
        <v>31750</v>
      </c>
      <c r="I175" s="27">
        <f>$Y$13+$W$13*$AA$13+$AC$13</f>
        <v>31750</v>
      </c>
      <c r="J175" s="27">
        <f>$Y$13+$W$13*$AA$13+$AC$13</f>
        <v>31750</v>
      </c>
      <c r="K175" s="27">
        <f>$Y$13+$W$13*$AA$13+$AC$13</f>
        <v>31750</v>
      </c>
      <c r="L175" s="27">
        <f>$Y$13+$W$13*$AA$13+$AC$13</f>
        <v>31750</v>
      </c>
      <c r="M175" s="47">
        <f>$Y$13+$W$13*$AA$13+$AC$13</f>
        <v>31750</v>
      </c>
      <c r="N175" s="47">
        <f>$Y$13+$W$13*$AA$13+$AC$13</f>
        <v>31750</v>
      </c>
      <c r="O175" s="47">
        <f>$Y$13+$W$13*$AA$13+$AC$13</f>
        <v>31750</v>
      </c>
      <c r="P175" s="47">
        <f>$Y$13+$W$13*$AA$13+$AC$13</f>
        <v>31750</v>
      </c>
      <c r="Q175" s="28">
        <f>SUM(E175:L175,M175,N175,O175,P175)</f>
        <v>442000</v>
      </c>
      <c r="R175" s="42">
        <v>50000</v>
      </c>
      <c r="S175" s="41"/>
    </row>
    <row r="176" spans="1:19" x14ac:dyDescent="0.25">
      <c r="A176">
        <v>13</v>
      </c>
      <c r="B176" s="16" t="s">
        <v>146</v>
      </c>
      <c r="C176" s="8">
        <v>10</v>
      </c>
      <c r="D176" s="11" t="s">
        <v>47</v>
      </c>
      <c r="E176" s="27">
        <v>44750</v>
      </c>
      <c r="F176" s="27">
        <v>116750</v>
      </c>
      <c r="G176" s="27">
        <f>$Y$5+$W$5*$AA$5+$AC$5</f>
        <v>31750</v>
      </c>
      <c r="H176" s="27">
        <f>$Y$5+$W$5*$AA$5+$AC$5</f>
        <v>31750</v>
      </c>
      <c r="I176" s="27">
        <f>$Y$5+$W$5*$AA$5+$AC$5</f>
        <v>31750</v>
      </c>
      <c r="J176" s="27">
        <f>$Y$5+$W$5*$AA$5+$AC$5</f>
        <v>31750</v>
      </c>
      <c r="K176" s="27">
        <f>$Y$5+$W$5*$AA$5+$AC$5</f>
        <v>31750</v>
      </c>
      <c r="L176" s="27">
        <f>$Y$5+$W$5*$AA$5+$AC$5</f>
        <v>31750</v>
      </c>
      <c r="M176" s="47">
        <f>$Y$5+$W$5*$AA$5+$AC$5</f>
        <v>31750</v>
      </c>
      <c r="N176" s="47">
        <f>$Y$5+$W$5*$AA$5+$AC$5</f>
        <v>31750</v>
      </c>
      <c r="O176" s="47">
        <f>$Y$5+$W$5*$AA$5+$AC$5</f>
        <v>31750</v>
      </c>
      <c r="P176" s="47">
        <f>$Y$5+$W$5*$AA$5+$AC$5</f>
        <v>31750</v>
      </c>
      <c r="Q176" s="28">
        <f>SUM(E176:L176,M176,N176,O176,P176)</f>
        <v>479000</v>
      </c>
      <c r="R176" s="42">
        <v>50000</v>
      </c>
      <c r="S176" s="41"/>
    </row>
    <row r="177" spans="1:19" x14ac:dyDescent="0.25">
      <c r="A177">
        <v>14</v>
      </c>
      <c r="B177" s="14" t="s">
        <v>65</v>
      </c>
      <c r="C177" s="8">
        <v>12</v>
      </c>
      <c r="D177" s="11" t="s">
        <v>48</v>
      </c>
      <c r="E177" s="27">
        <v>51750</v>
      </c>
      <c r="F177" s="27">
        <v>123750</v>
      </c>
      <c r="G177" s="27">
        <f>$Z$7+$X$7*$AA$7+$AD$7+$AE$7</f>
        <v>58750</v>
      </c>
      <c r="H177" s="27">
        <f>$Z$7+$X$7*$AA$7+$AD$7++$AE$7</f>
        <v>58750</v>
      </c>
      <c r="I177" s="27">
        <f>$Z$7+$X$7*$AA$7+$AD$7++$AE$7</f>
        <v>58750</v>
      </c>
      <c r="J177" s="27">
        <f>$Z$7+$X$7*$AA$7+$AD$7++$AE$7</f>
        <v>58750</v>
      </c>
      <c r="K177" s="27">
        <f>$Z$7+$X$7*$AA$7+$AD$7++$AE$7</f>
        <v>58750</v>
      </c>
      <c r="L177" s="27">
        <f>$Z$7+$X$7*$AA$7+$AD$7++$AE$7</f>
        <v>58750</v>
      </c>
      <c r="M177" s="47">
        <f>$Z$7+$X$7*$AA$7+$AD$7++$AE$7</f>
        <v>58750</v>
      </c>
      <c r="N177" s="47">
        <f>$Z$7+$X$7*$AA$7+$AD$7++$AE$7</f>
        <v>58750</v>
      </c>
      <c r="O177" s="47">
        <f>$Z$7+$X$7*$AA$7+$AD$7++$AE$7</f>
        <v>58750</v>
      </c>
      <c r="P177" s="47">
        <f>$Z$7+$X$7*$AA$7+$AD$7++$AE$7</f>
        <v>58750</v>
      </c>
      <c r="Q177" s="28">
        <f>SUM(E177:L177,M177,N177,O177,P177)</f>
        <v>763000</v>
      </c>
      <c r="R177" s="42">
        <v>50000</v>
      </c>
      <c r="S177" s="41"/>
    </row>
    <row r="178" spans="1:19" x14ac:dyDescent="0.25">
      <c r="A178">
        <v>15</v>
      </c>
      <c r="B178" s="15" t="s">
        <v>60</v>
      </c>
      <c r="C178" s="30">
        <v>10</v>
      </c>
      <c r="D178" s="12" t="s">
        <v>22</v>
      </c>
      <c r="E178" s="27">
        <v>25750</v>
      </c>
      <c r="F178" s="27">
        <v>98750</v>
      </c>
      <c r="G178" s="27">
        <f>$Y$16+$W$16*$AA$16+$AC$16</f>
        <v>31750</v>
      </c>
      <c r="H178" s="27">
        <f>$Y$16+$W$16*$AA$16+$AC$16</f>
        <v>31750</v>
      </c>
      <c r="I178" s="27">
        <f>$Y$16+$W$16*$AA$16+$AC$16</f>
        <v>31750</v>
      </c>
      <c r="J178" s="27">
        <f>$Y$16+$W$16*$AA$16+$AC$16</f>
        <v>31750</v>
      </c>
      <c r="K178" s="27">
        <f>$Y$16+$W$16*$AA$16+$AC$16</f>
        <v>31750</v>
      </c>
      <c r="L178" s="27">
        <f>$Y$16+$W$16*$AA$16+$AC$16</f>
        <v>31750</v>
      </c>
      <c r="M178" s="47">
        <f>$Y$16+$W$16*$AA$16+$AC$16</f>
        <v>31750</v>
      </c>
      <c r="N178" s="47">
        <f>$Y$16+$W$16*$AA$16+$AC$16</f>
        <v>31750</v>
      </c>
      <c r="O178" s="47">
        <f>$Y$16+$W$16*$AA$16+$AC$16</f>
        <v>31750</v>
      </c>
      <c r="P178" s="47">
        <f>$Y$16+$W$16*$AA$16+$AC$16</f>
        <v>31750</v>
      </c>
      <c r="Q178" s="28">
        <f>SUM(E178:L178,M178,N178,O178,P178)</f>
        <v>442000</v>
      </c>
      <c r="R178" s="42">
        <v>50000</v>
      </c>
      <c r="S178" s="41"/>
    </row>
    <row r="179" spans="1:19" x14ac:dyDescent="0.25">
      <c r="A179">
        <v>16</v>
      </c>
      <c r="B179" s="16" t="s">
        <v>146</v>
      </c>
      <c r="C179" s="30">
        <v>10</v>
      </c>
      <c r="D179" s="12" t="s">
        <v>49</v>
      </c>
      <c r="E179" s="27">
        <v>25750</v>
      </c>
      <c r="F179" s="27">
        <v>98750</v>
      </c>
      <c r="G179" s="27">
        <f>$Y$5+$W$5*$AA$5+$AC$5</f>
        <v>31750</v>
      </c>
      <c r="H179" s="27">
        <f>$Y$5+$W$5*$AA$5+$AC$5</f>
        <v>31750</v>
      </c>
      <c r="I179" s="27">
        <f>$Y$5+$W$5*$AA$5+$AC$5</f>
        <v>31750</v>
      </c>
      <c r="J179" s="27">
        <f>$Y$5+$W$5*$AA$5+$AC$5</f>
        <v>31750</v>
      </c>
      <c r="K179" s="27">
        <f>$Y$5+$W$5*$AA$5+$AC$5</f>
        <v>31750</v>
      </c>
      <c r="L179" s="27">
        <f>$Y$5+$W$5*$AA$5+$AC$5</f>
        <v>31750</v>
      </c>
      <c r="M179" s="47">
        <f>$Y$5+$W$5*$AA$5+$AC$5</f>
        <v>31750</v>
      </c>
      <c r="N179" s="47">
        <f>$Y$5+$W$5*$AA$5+$AC$5</f>
        <v>31750</v>
      </c>
      <c r="O179" s="47">
        <f>$Y$5+$W$5*$AA$5+$AC$5</f>
        <v>31750</v>
      </c>
      <c r="P179" s="47">
        <f>$Y$5+$W$5*$AA$5+$AC$5</f>
        <v>31750</v>
      </c>
      <c r="Q179" s="28">
        <f>SUM(E179:L179,M179,N179,O179,P179)</f>
        <v>442000</v>
      </c>
      <c r="R179" s="42">
        <v>50000</v>
      </c>
      <c r="S179" s="41"/>
    </row>
    <row r="180" spans="1:19" x14ac:dyDescent="0.25">
      <c r="A180">
        <v>17</v>
      </c>
      <c r="B180" s="16" t="s">
        <v>146</v>
      </c>
      <c r="C180" s="8">
        <v>10</v>
      </c>
      <c r="D180" s="9" t="s">
        <v>23</v>
      </c>
      <c r="E180" s="27">
        <v>25750</v>
      </c>
      <c r="F180" s="27">
        <v>98750</v>
      </c>
      <c r="G180" s="27">
        <f>$Y$5+$W$5*$AA$5+$AC$5</f>
        <v>31750</v>
      </c>
      <c r="H180" s="27">
        <f>$Y$5+$W$5*$AA$5+$AC$5</f>
        <v>31750</v>
      </c>
      <c r="I180" s="27">
        <f>$Y$5+$W$5*$AA$5+$AC$5</f>
        <v>31750</v>
      </c>
      <c r="J180" s="27">
        <f>$Y$5+$W$5*$AA$5+$AC$5</f>
        <v>31750</v>
      </c>
      <c r="K180" s="27">
        <f>$Y$5+$W$5*$AA$5+$AC$5</f>
        <v>31750</v>
      </c>
      <c r="L180" s="27">
        <f>$Y$5+$W$5*$AA$5+$AC$5</f>
        <v>31750</v>
      </c>
      <c r="M180" s="47">
        <f>$Y$5+$W$5*$AA$5+$AC$5</f>
        <v>31750</v>
      </c>
      <c r="N180" s="47">
        <f>$Y$5+$W$5*$AA$5+$AC$5</f>
        <v>31750</v>
      </c>
      <c r="O180" s="47">
        <f>$Y$5+$W$5*$AA$5+$AC$5</f>
        <v>31750</v>
      </c>
      <c r="P180" s="47">
        <f>$Y$5+$W$5*$AA$5+$AC$5</f>
        <v>31750</v>
      </c>
      <c r="Q180" s="28">
        <f>SUM(E180:L180,M180,N180,O180,P180)</f>
        <v>442000</v>
      </c>
      <c r="R180" s="42">
        <v>50000</v>
      </c>
      <c r="S180" s="41"/>
    </row>
    <row r="181" spans="1:19" x14ac:dyDescent="0.25">
      <c r="A181">
        <v>18</v>
      </c>
      <c r="B181" s="16" t="s">
        <v>146</v>
      </c>
      <c r="C181" s="8">
        <v>10</v>
      </c>
      <c r="D181" s="9" t="s">
        <v>24</v>
      </c>
      <c r="E181" s="27">
        <v>25750</v>
      </c>
      <c r="F181" s="27">
        <v>98750</v>
      </c>
      <c r="G181" s="27">
        <f>$Y$5+$W$5*$AA$5+$AC$5</f>
        <v>31750</v>
      </c>
      <c r="H181" s="27">
        <f>$Y$5+$W$5*$AA$5+$AC$5</f>
        <v>31750</v>
      </c>
      <c r="I181" s="27">
        <f>$Y$5+$W$5*$AA$5+$AC$5</f>
        <v>31750</v>
      </c>
      <c r="J181" s="27">
        <f>$Y$5+$W$5*$AA$5+$AC$5</f>
        <v>31750</v>
      </c>
      <c r="K181" s="27">
        <f>$Y$5+$W$5*$AA$5+$AC$5</f>
        <v>31750</v>
      </c>
      <c r="L181" s="27">
        <f>$Y$5+$W$5*$AA$5+$AC$5</f>
        <v>31750</v>
      </c>
      <c r="M181" s="47">
        <f>$Y$5+$W$5*$AA$5+$AC$5</f>
        <v>31750</v>
      </c>
      <c r="N181" s="47">
        <f>$Y$5+$W$5*$AA$5+$AC$5</f>
        <v>31750</v>
      </c>
      <c r="O181" s="47">
        <f>$Y$5+$W$5*$AA$5+$AC$5</f>
        <v>31750</v>
      </c>
      <c r="P181" s="47">
        <f>$Y$5+$W$5*$AA$5+$AC$5</f>
        <v>31750</v>
      </c>
      <c r="Q181" s="28">
        <f>SUM(E181:L181,M181,N181,O181,P181)</f>
        <v>442000</v>
      </c>
      <c r="R181" s="42">
        <v>50000</v>
      </c>
      <c r="S181" s="41"/>
    </row>
    <row r="182" spans="1:19" x14ac:dyDescent="0.25">
      <c r="A182">
        <v>19</v>
      </c>
      <c r="B182" s="15" t="s">
        <v>60</v>
      </c>
      <c r="C182" s="8">
        <v>8</v>
      </c>
      <c r="D182" s="11" t="s">
        <v>50</v>
      </c>
      <c r="E182" s="27">
        <v>7750</v>
      </c>
      <c r="F182" s="27">
        <v>79750</v>
      </c>
      <c r="G182" s="27">
        <f>$V$16*$AA$16+$AB$16</f>
        <v>11750</v>
      </c>
      <c r="H182" s="27">
        <f>$V$16*$AA$16+$AB$16</f>
        <v>11750</v>
      </c>
      <c r="I182" s="27">
        <f>$V$16*$AA$16+$AB$16</f>
        <v>11750</v>
      </c>
      <c r="J182" s="27">
        <f>$V$16*$AA$16+$AB$16</f>
        <v>11750</v>
      </c>
      <c r="K182" s="27">
        <f>$V$16*$AA$16+$AB$16</f>
        <v>11750</v>
      </c>
      <c r="L182" s="27">
        <f>$V$16*$AA$16+$AB$16</f>
        <v>11750</v>
      </c>
      <c r="M182" s="47">
        <f>$V$16*$AA$16+$AB$16</f>
        <v>11750</v>
      </c>
      <c r="N182" s="47">
        <f>$V$16*$AA$16+$AB$16</f>
        <v>11750</v>
      </c>
      <c r="O182" s="47">
        <f>$V$16*$AA$16+$AB$16</f>
        <v>11750</v>
      </c>
      <c r="P182" s="47">
        <f>$V$16*$AA$16+$AB$16</f>
        <v>11750</v>
      </c>
      <c r="Q182" s="28">
        <f>SUM(E182:L182,M182,N182,O182,P182)</f>
        <v>205000</v>
      </c>
      <c r="R182" s="42">
        <v>50000</v>
      </c>
      <c r="S182" s="41"/>
    </row>
    <row r="183" spans="1:19" x14ac:dyDescent="0.25">
      <c r="A183">
        <v>20</v>
      </c>
      <c r="B183" s="8" t="s">
        <v>138</v>
      </c>
      <c r="C183" s="8">
        <v>8</v>
      </c>
      <c r="D183" s="9" t="s">
        <v>25</v>
      </c>
      <c r="E183" s="27">
        <v>19500</v>
      </c>
      <c r="F183" s="27">
        <v>79500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47">
        <v>0</v>
      </c>
      <c r="N183" s="47">
        <v>0</v>
      </c>
      <c r="O183" s="47">
        <v>0</v>
      </c>
      <c r="P183" s="47">
        <v>0</v>
      </c>
      <c r="Q183" s="28">
        <f>SUM(E183:L183,M183,N183,O183,P183)</f>
        <v>99000</v>
      </c>
      <c r="R183" s="42">
        <v>50000</v>
      </c>
      <c r="S183" s="41"/>
    </row>
    <row r="184" spans="1:19" x14ac:dyDescent="0.25">
      <c r="A184">
        <v>21</v>
      </c>
      <c r="B184" s="16" t="s">
        <v>146</v>
      </c>
      <c r="C184" s="8">
        <v>10</v>
      </c>
      <c r="D184" s="11" t="s">
        <v>51</v>
      </c>
      <c r="E184" s="27">
        <v>25750</v>
      </c>
      <c r="F184" s="27">
        <v>98750</v>
      </c>
      <c r="G184" s="27">
        <f>$Y$5+$W$5*$AA$5+$AC$5</f>
        <v>31750</v>
      </c>
      <c r="H184" s="27">
        <f>$Y$5+$W$5*$AA$5+$AC$5</f>
        <v>31750</v>
      </c>
      <c r="I184" s="27">
        <f>$Y$5+$W$5*$AA$5+$AC$5</f>
        <v>31750</v>
      </c>
      <c r="J184" s="27">
        <f>$Y$5+$W$5*$AA$5+$AC$5</f>
        <v>31750</v>
      </c>
      <c r="K184" s="27">
        <f>$Y$5+$W$5*$AA$5+$AC$5</f>
        <v>31750</v>
      </c>
      <c r="L184" s="27">
        <f>$Y$5+$W$5*$AA$5+$AC$5</f>
        <v>31750</v>
      </c>
      <c r="M184" s="47">
        <f>$Y$5+$W$5*$AA$5+$AC$5</f>
        <v>31750</v>
      </c>
      <c r="N184" s="47">
        <f>$Y$5+$W$5*$AA$5+$AC$5</f>
        <v>31750</v>
      </c>
      <c r="O184" s="47">
        <f>$Y$5+$W$5*$AA$5+$AC$5</f>
        <v>31750</v>
      </c>
      <c r="P184" s="47">
        <f>$Y$5+$W$5*$AA$5+$AC$5</f>
        <v>31750</v>
      </c>
      <c r="Q184" s="28">
        <f>SUM(E184:L184,M184,N184,O184,P184)</f>
        <v>442000</v>
      </c>
      <c r="R184" s="42">
        <v>50000</v>
      </c>
      <c r="S184" s="41"/>
    </row>
    <row r="185" spans="1:19" x14ac:dyDescent="0.25">
      <c r="A185">
        <v>22</v>
      </c>
      <c r="B185" s="25" t="s">
        <v>154</v>
      </c>
      <c r="C185" s="8">
        <v>8</v>
      </c>
      <c r="D185" s="11" t="s">
        <v>143</v>
      </c>
      <c r="E185" s="27">
        <v>0</v>
      </c>
      <c r="F185" s="27">
        <v>160000</v>
      </c>
      <c r="G185" s="27">
        <v>50000</v>
      </c>
      <c r="H185" s="27">
        <v>50000</v>
      </c>
      <c r="I185" s="27">
        <v>50000</v>
      </c>
      <c r="J185" s="27">
        <v>50000</v>
      </c>
      <c r="K185" s="27">
        <v>50000</v>
      </c>
      <c r="L185" s="27">
        <v>50000</v>
      </c>
      <c r="M185" s="47">
        <v>50000</v>
      </c>
      <c r="N185" s="47">
        <v>50000</v>
      </c>
      <c r="O185" s="47">
        <v>50000</v>
      </c>
      <c r="P185" s="47">
        <v>50000</v>
      </c>
      <c r="Q185" s="28">
        <f>SUM(E185:L185,M185,N185,O185,P185)</f>
        <v>660000</v>
      </c>
      <c r="R185" s="42">
        <v>100000</v>
      </c>
      <c r="S185" s="41"/>
    </row>
    <row r="186" spans="1:19" x14ac:dyDescent="0.25">
      <c r="A186">
        <v>23</v>
      </c>
      <c r="B186" s="16" t="s">
        <v>146</v>
      </c>
      <c r="C186" s="8">
        <v>10</v>
      </c>
      <c r="D186" s="9" t="s">
        <v>27</v>
      </c>
      <c r="E186" s="27">
        <v>25750</v>
      </c>
      <c r="F186" s="27">
        <v>98750</v>
      </c>
      <c r="G186" s="27">
        <f>$Y$5+$W$5*$AA$5+$AC$5</f>
        <v>31750</v>
      </c>
      <c r="H186" s="27">
        <f>$Y$5+$W$5*$AA$5+$AC$5</f>
        <v>31750</v>
      </c>
      <c r="I186" s="27">
        <f>$Y$5+$W$5*$AA$5+$AC$5</f>
        <v>31750</v>
      </c>
      <c r="J186" s="27">
        <f>$Y$5+$W$5*$AA$5+$AC$5</f>
        <v>31750</v>
      </c>
      <c r="K186" s="27">
        <f>$Y$5+$W$5*$AA$5+$AC$5</f>
        <v>31750</v>
      </c>
      <c r="L186" s="27">
        <f>$Y$5+$W$5*$AA$5+$AC$5</f>
        <v>31750</v>
      </c>
      <c r="M186" s="47">
        <f>$Y$5+$W$5*$AA$5+$AC$5</f>
        <v>31750</v>
      </c>
      <c r="N186" s="47">
        <f>$Y$5+$W$5*$AA$5+$AC$5</f>
        <v>31750</v>
      </c>
      <c r="O186" s="47">
        <f>$Y$5+$W$5*$AA$5+$AC$5</f>
        <v>31750</v>
      </c>
      <c r="P186" s="47">
        <f>$Y$5+$W$5*$AA$5+$AC$5</f>
        <v>31750</v>
      </c>
      <c r="Q186" s="28">
        <f>SUM(E186:L186,M186,N186,O186,P186)</f>
        <v>442000</v>
      </c>
      <c r="R186" s="42">
        <v>50000</v>
      </c>
      <c r="S186" s="41"/>
    </row>
    <row r="187" spans="1:19" x14ac:dyDescent="0.25">
      <c r="A187">
        <v>24</v>
      </c>
      <c r="B187" s="16" t="s">
        <v>146</v>
      </c>
      <c r="C187" s="8">
        <v>10</v>
      </c>
      <c r="D187" s="9" t="s">
        <v>28</v>
      </c>
      <c r="E187" s="27">
        <v>25750</v>
      </c>
      <c r="F187" s="27">
        <v>98750</v>
      </c>
      <c r="G187" s="27">
        <f>$Y$5+$W$5*$AA$5+$AC$5</f>
        <v>31750</v>
      </c>
      <c r="H187" s="27">
        <f>$Y$5+$W$5*$AA$5+$AC$5</f>
        <v>31750</v>
      </c>
      <c r="I187" s="27">
        <f>$Y$5+$W$5*$AA$5+$AC$5</f>
        <v>31750</v>
      </c>
      <c r="J187" s="27">
        <f>$Y$5+$W$5*$AA$5+$AC$5</f>
        <v>31750</v>
      </c>
      <c r="K187" s="27">
        <f>$Y$5+$W$5*$AA$5+$AC$5</f>
        <v>31750</v>
      </c>
      <c r="L187" s="27">
        <f>$Y$5+$W$5*$AA$5+$AC$5</f>
        <v>31750</v>
      </c>
      <c r="M187" s="47">
        <f>$Y$5+$W$5*$AA$5+$AC$5</f>
        <v>31750</v>
      </c>
      <c r="N187" s="47">
        <f>$Y$5+$W$5*$AA$5+$AC$5</f>
        <v>31750</v>
      </c>
      <c r="O187" s="47">
        <f>$Y$5+$W$5*$AA$5+$AC$5</f>
        <v>31750</v>
      </c>
      <c r="P187" s="47">
        <f>$Y$5+$W$5*$AA$5+$AC$5</f>
        <v>31750</v>
      </c>
      <c r="Q187" s="28">
        <f>SUM(E187:L187,M187,N187,O187,P187)</f>
        <v>442000</v>
      </c>
      <c r="R187" s="42">
        <v>50000</v>
      </c>
      <c r="S187" s="41"/>
    </row>
    <row r="188" spans="1:19" x14ac:dyDescent="0.25">
      <c r="A188">
        <v>25</v>
      </c>
      <c r="B188" s="16" t="s">
        <v>146</v>
      </c>
      <c r="C188" s="8">
        <v>12</v>
      </c>
      <c r="D188" s="9" t="s">
        <v>29</v>
      </c>
      <c r="E188" s="27">
        <v>44750</v>
      </c>
      <c r="F188" s="27">
        <v>116750</v>
      </c>
      <c r="G188" s="27">
        <f>$Z$5+$X$5*$AA$5+$AD$5</f>
        <v>51750</v>
      </c>
      <c r="H188" s="27">
        <f>$Z$5+$X$5*$AA$5+$AD$5</f>
        <v>51750</v>
      </c>
      <c r="I188" s="27">
        <f>$Z$5+$X$5*$AA$5+$AD$5</f>
        <v>51750</v>
      </c>
      <c r="J188" s="27">
        <f>$Z$5+$X$5*$AA$5+$AD$5</f>
        <v>51750</v>
      </c>
      <c r="K188" s="27">
        <f>$Z$5+$X$5*$AA$5+$AD$5</f>
        <v>51750</v>
      </c>
      <c r="L188" s="27">
        <f>$Z$5+$X$5*$AA$5+$AD$5</f>
        <v>51750</v>
      </c>
      <c r="M188" s="47">
        <f>$Z$5+$X$5*$AA$5+$AD$5</f>
        <v>51750</v>
      </c>
      <c r="N188" s="47">
        <f>$Z$5+$X$5*$AA$5+$AD$5</f>
        <v>51750</v>
      </c>
      <c r="O188" s="47">
        <f>$Z$5+$X$5*$AA$5+$AD$5</f>
        <v>51750</v>
      </c>
      <c r="P188" s="47">
        <f>$Z$5+$X$5*$AA$5+$AD$5</f>
        <v>51750</v>
      </c>
      <c r="Q188" s="28">
        <f>SUM(E188:L188,M188,N188,O188,P188)</f>
        <v>679000</v>
      </c>
      <c r="R188" s="42">
        <v>50000</v>
      </c>
      <c r="S188" s="41"/>
    </row>
    <row r="189" spans="1:19" x14ac:dyDescent="0.25">
      <c r="A189">
        <v>26</v>
      </c>
      <c r="B189" s="14" t="s">
        <v>66</v>
      </c>
      <c r="C189" s="8">
        <v>12</v>
      </c>
      <c r="D189" s="11" t="s">
        <v>30</v>
      </c>
      <c r="E189" s="27">
        <v>51750</v>
      </c>
      <c r="F189" s="27">
        <v>123750</v>
      </c>
      <c r="G189" s="27">
        <f>$X$10*$AA$10+$Z$10+$AD$10+$AE$10</f>
        <v>58750</v>
      </c>
      <c r="H189" s="27">
        <f>$X$10*$AA$10+$Z$10+$AD$10+$AE$10</f>
        <v>58750</v>
      </c>
      <c r="I189" s="27">
        <f>$X$10*$AA$10+$Z$10+$AD$10+$AE$10</f>
        <v>58750</v>
      </c>
      <c r="J189" s="27">
        <f>$X$10*$AA$10+$Z$10+$AD$10+$AE$10</f>
        <v>58750</v>
      </c>
      <c r="K189" s="27">
        <f>$X$10*$AA$10+$Z$10+$AD$10+$AE$10</f>
        <v>58750</v>
      </c>
      <c r="L189" s="27">
        <f>$X$10*$AA$10+$Z$10+$AD$10+$AE$10</f>
        <v>58750</v>
      </c>
      <c r="M189" s="47">
        <f>$X$10*$AA$10+$Z$10+$AD$10+$AE$10</f>
        <v>58750</v>
      </c>
      <c r="N189" s="47">
        <f>$X$10*$AA$10+$Z$10+$AD$10+$AE$10</f>
        <v>58750</v>
      </c>
      <c r="O189" s="47">
        <f>$X$10*$AA$10+$Z$10+$AD$10+$AE$10</f>
        <v>58750</v>
      </c>
      <c r="P189" s="47">
        <f>$X$10*$AA$10+$Z$10+$AD$10+$AE$10</f>
        <v>58750</v>
      </c>
      <c r="Q189" s="28">
        <f>SUM(E189:L189,M189,N189,O189,P189)</f>
        <v>763000</v>
      </c>
      <c r="R189" s="42">
        <v>50000</v>
      </c>
      <c r="S189" s="41"/>
    </row>
    <row r="190" spans="1:19" x14ac:dyDescent="0.25">
      <c r="A190">
        <v>27</v>
      </c>
      <c r="B190" s="16" t="s">
        <v>146</v>
      </c>
      <c r="C190" s="8">
        <v>10</v>
      </c>
      <c r="D190" s="9" t="s">
        <v>31</v>
      </c>
      <c r="E190" s="27">
        <v>25750</v>
      </c>
      <c r="F190" s="27">
        <v>98750</v>
      </c>
      <c r="G190" s="27">
        <f>$Y$5+$W$5*$AA$5+$AC$5</f>
        <v>31750</v>
      </c>
      <c r="H190" s="27">
        <f>$Y$5+$W$5*$AA$5+$AC$5</f>
        <v>31750</v>
      </c>
      <c r="I190" s="27">
        <f>$Y$5+$W$5*$AA$5+$AC$5</f>
        <v>31750</v>
      </c>
      <c r="J190" s="27">
        <f>$Y$5+$W$5*$AA$5+$AC$5</f>
        <v>31750</v>
      </c>
      <c r="K190" s="27">
        <f>$Y$5+$W$5*$AA$5+$AC$5</f>
        <v>31750</v>
      </c>
      <c r="L190" s="27">
        <f>$Y$5+$W$5*$AA$5+$AC$5</f>
        <v>31750</v>
      </c>
      <c r="M190" s="47">
        <f>$Y$5+$W$5*$AA$5+$AC$5</f>
        <v>31750</v>
      </c>
      <c r="N190" s="47">
        <f>$Y$5+$W$5*$AA$5+$AC$5</f>
        <v>31750</v>
      </c>
      <c r="O190" s="47">
        <f>$Y$5+$W$5*$AA$5+$AC$5</f>
        <v>31750</v>
      </c>
      <c r="P190" s="47">
        <f>$Y$5+$W$5*$AA$5+$AC$5</f>
        <v>31750</v>
      </c>
      <c r="Q190" s="28">
        <f>SUM(E190:L190,M190,N190,O190,P190)</f>
        <v>442000</v>
      </c>
      <c r="R190" s="42">
        <v>50000</v>
      </c>
      <c r="S190" s="41"/>
    </row>
    <row r="191" spans="1:19" x14ac:dyDescent="0.25">
      <c r="A191">
        <v>28</v>
      </c>
      <c r="B191" s="14" t="s">
        <v>62</v>
      </c>
      <c r="C191" s="8">
        <v>10</v>
      </c>
      <c r="D191" s="11" t="s">
        <v>52</v>
      </c>
      <c r="E191" s="27">
        <v>32750</v>
      </c>
      <c r="F191" s="27">
        <v>105750</v>
      </c>
      <c r="G191" s="27">
        <f>$Y$12+$W$12*$AA$12+$AC$12+$AE$12</f>
        <v>38750</v>
      </c>
      <c r="H191" s="27">
        <f>$Y$12+$W$12*$AA$12+$AC$12+$AE$12</f>
        <v>38750</v>
      </c>
      <c r="I191" s="27">
        <f>$Y$12+$W$12*$AA$12+$AC$12+$AE$12</f>
        <v>38750</v>
      </c>
      <c r="J191" s="27">
        <f>$Y$12+$W$12*$AA$12+$AC$12+$AE$12</f>
        <v>38750</v>
      </c>
      <c r="K191" s="27">
        <f>$Y$12+$W$12*$AA$12+$AC$12+$AE$12</f>
        <v>38750</v>
      </c>
      <c r="L191" s="27">
        <f>$Y$12+$W$12*$AA$12+$AC$12+$AE$12</f>
        <v>38750</v>
      </c>
      <c r="M191" s="47">
        <f>$Y$12+$W$12*$AA$12+$AC$12+$AE$12</f>
        <v>38750</v>
      </c>
      <c r="N191" s="47">
        <f>$Y$12+$W$12*$AA$12+$AC$12+$AE$12</f>
        <v>38750</v>
      </c>
      <c r="O191" s="47">
        <f>$Y$12+$W$12*$AA$12+$AC$12+$AE$12</f>
        <v>38750</v>
      </c>
      <c r="P191" s="47">
        <f>$Y$12+$W$12*$AA$12+$AC$12+$AE$12</f>
        <v>38750</v>
      </c>
      <c r="Q191" s="28">
        <f>SUM(E191:L191,M191,N191,O191,P191)</f>
        <v>526000</v>
      </c>
      <c r="R191" s="42">
        <v>50000</v>
      </c>
      <c r="S191" s="41"/>
    </row>
    <row r="192" spans="1:19" x14ac:dyDescent="0.25">
      <c r="A192">
        <v>29</v>
      </c>
      <c r="B192" s="16" t="s">
        <v>145</v>
      </c>
      <c r="C192" s="8">
        <v>10</v>
      </c>
      <c r="D192" s="11" t="s">
        <v>53</v>
      </c>
      <c r="E192" s="27">
        <v>25750</v>
      </c>
      <c r="F192" s="27">
        <v>98750</v>
      </c>
      <c r="G192" s="27">
        <f>$Y$6+$W$6*$AA$6+$AC$6</f>
        <v>31750</v>
      </c>
      <c r="H192" s="27">
        <f>$Y$6+$W$6*$AA$6+$AC$6</f>
        <v>31750</v>
      </c>
      <c r="I192" s="27">
        <f>$Y$6+$W$6*$AA$6+$AC$6</f>
        <v>31750</v>
      </c>
      <c r="J192" s="27">
        <f>$Y$6+$W$6*$AA$6+$AC$6</f>
        <v>31750</v>
      </c>
      <c r="K192" s="27">
        <f>$Y$6+$W$6*$AA$6+$AC$6</f>
        <v>31750</v>
      </c>
      <c r="L192" s="27">
        <f>$Y$6+$W$6*$AA$6+$AC$6</f>
        <v>31750</v>
      </c>
      <c r="M192" s="47">
        <f>$Y$6+$W$6*$AA$6+$AC$6</f>
        <v>31750</v>
      </c>
      <c r="N192" s="47">
        <f>$Y$6+$W$6*$AA$6+$AC$6</f>
        <v>31750</v>
      </c>
      <c r="O192" s="47">
        <f>$Y$6+$W$6*$AA$6+$AC$6</f>
        <v>31750</v>
      </c>
      <c r="P192" s="47">
        <f>$Y$6+$W$6*$AA$6+$AC$6</f>
        <v>31750</v>
      </c>
      <c r="Q192" s="28">
        <f>SUM(E192:L192,M192,N192,O192,P192)</f>
        <v>442000</v>
      </c>
      <c r="R192" s="42">
        <v>50000</v>
      </c>
      <c r="S192" s="41"/>
    </row>
    <row r="193" spans="1:19" x14ac:dyDescent="0.25">
      <c r="A193">
        <v>30</v>
      </c>
      <c r="B193" s="16" t="s">
        <v>146</v>
      </c>
      <c r="C193" s="8">
        <v>10</v>
      </c>
      <c r="D193" s="9" t="s">
        <v>32</v>
      </c>
      <c r="E193" s="27">
        <v>25750</v>
      </c>
      <c r="F193" s="27">
        <v>98750</v>
      </c>
      <c r="G193" s="27">
        <f>$Y$5+$W$5*$AA$5+$AC$5</f>
        <v>31750</v>
      </c>
      <c r="H193" s="27">
        <f>$Y$5+$W$5*$AA$5+$AC$5</f>
        <v>31750</v>
      </c>
      <c r="I193" s="27">
        <f>$Y$5+$W$5*$AA$5+$AC$5</f>
        <v>31750</v>
      </c>
      <c r="J193" s="27">
        <f>$Y$5+$W$5*$AA$5+$AC$5</f>
        <v>31750</v>
      </c>
      <c r="K193" s="27">
        <f>$Y$5+$W$5*$AA$5+$AC$5</f>
        <v>31750</v>
      </c>
      <c r="L193" s="27">
        <f>$Y$5+$W$5*$AA$5+$AC$5</f>
        <v>31750</v>
      </c>
      <c r="M193" s="47">
        <f>$Y$5+$W$5*$AA$5+$AC$5</f>
        <v>31750</v>
      </c>
      <c r="N193" s="47">
        <f>$Y$5+$W$5*$AA$5+$AC$5</f>
        <v>31750</v>
      </c>
      <c r="O193" s="47">
        <f>$Y$5+$W$5*$AA$5+$AC$5</f>
        <v>31750</v>
      </c>
      <c r="P193" s="47">
        <f>$Y$5+$W$5*$AA$5+$AC$5</f>
        <v>31750</v>
      </c>
      <c r="Q193" s="28">
        <f>SUM(E193:L193,M193,N193,O193,P193)</f>
        <v>442000</v>
      </c>
      <c r="R193" s="42">
        <v>50000</v>
      </c>
      <c r="S193" s="41"/>
    </row>
    <row r="194" spans="1:19" x14ac:dyDescent="0.25">
      <c r="A194">
        <v>31</v>
      </c>
      <c r="B194" s="15" t="s">
        <v>61</v>
      </c>
      <c r="C194" s="8">
        <v>10</v>
      </c>
      <c r="D194" s="9" t="s">
        <v>33</v>
      </c>
      <c r="E194" s="27">
        <v>25750</v>
      </c>
      <c r="F194" s="27">
        <v>98750</v>
      </c>
      <c r="G194" s="27">
        <f>$Y$14+$W$14*$AA$14+$AC$14</f>
        <v>31750</v>
      </c>
      <c r="H194" s="27">
        <f>$Y$14+$W$14*$AA$14+$AC$14</f>
        <v>31750</v>
      </c>
      <c r="I194" s="27">
        <f>$Y$14+$W$14*$AA$14+$AC$14</f>
        <v>31750</v>
      </c>
      <c r="J194" s="27">
        <f>$Y$14+$W$14*$AA$14+$AC$14</f>
        <v>31750</v>
      </c>
      <c r="K194" s="27">
        <f>$Y$14+$W$14*$AA$14+$AC$14</f>
        <v>31750</v>
      </c>
      <c r="L194" s="27">
        <f>$Y$14+$W$14*$AA$14+$AC$14</f>
        <v>31750</v>
      </c>
      <c r="M194" s="47">
        <f>$Y$14+$W$14*$AA$14+$AC$14</f>
        <v>31750</v>
      </c>
      <c r="N194" s="47">
        <f>$Y$14+$W$14*$AA$14+$AC$14</f>
        <v>31750</v>
      </c>
      <c r="O194" s="47">
        <f>$Y$14+$W$14*$AA$14+$AC$14</f>
        <v>31750</v>
      </c>
      <c r="P194" s="47">
        <f>$Y$14+$W$14*$AA$14+$AC$14</f>
        <v>31750</v>
      </c>
      <c r="Q194" s="28">
        <f>SUM(E194:L194,M194,N194,O194,P194)</f>
        <v>442000</v>
      </c>
      <c r="R194" s="42">
        <v>50000</v>
      </c>
      <c r="S194" s="41"/>
    </row>
    <row r="195" spans="1:19" x14ac:dyDescent="0.25">
      <c r="A195">
        <v>32</v>
      </c>
      <c r="B195" s="15" t="s">
        <v>61</v>
      </c>
      <c r="C195" s="8">
        <v>10</v>
      </c>
      <c r="D195" s="9" t="s">
        <v>34</v>
      </c>
      <c r="E195" s="27">
        <v>25750</v>
      </c>
      <c r="F195" s="27">
        <v>98750</v>
      </c>
      <c r="G195" s="27">
        <f>$Y$14+$W$14*$AA$14+$AC$14</f>
        <v>31750</v>
      </c>
      <c r="H195" s="27">
        <f>$Y$14+$W$14*$AA$14+$AC$14</f>
        <v>31750</v>
      </c>
      <c r="I195" s="27">
        <f>$Y$14+$W$14*$AA$14+$AC$14</f>
        <v>31750</v>
      </c>
      <c r="J195" s="27">
        <f>$Y$14+$W$14*$AA$14+$AC$14</f>
        <v>31750</v>
      </c>
      <c r="K195" s="27">
        <f>$Y$14+$W$14*$AA$14+$AC$14</f>
        <v>31750</v>
      </c>
      <c r="L195" s="27">
        <f>$Y$14+$W$14*$AA$14+$AC$14</f>
        <v>31750</v>
      </c>
      <c r="M195" s="47">
        <f>$Y$14+$W$14*$AA$14+$AC$14</f>
        <v>31750</v>
      </c>
      <c r="N195" s="47">
        <f>$Y$14+$W$14*$AA$14+$AC$14</f>
        <v>31750</v>
      </c>
      <c r="O195" s="47">
        <f>$Y$14+$W$14*$AA$14+$AC$14</f>
        <v>31750</v>
      </c>
      <c r="P195" s="47">
        <f>$Y$14+$W$14*$AA$14+$AC$14</f>
        <v>31750</v>
      </c>
      <c r="Q195" s="28">
        <f>SUM(E195:L195,M195,N195,O195,P195)</f>
        <v>442000</v>
      </c>
      <c r="R195" s="42">
        <v>50000</v>
      </c>
      <c r="S195" s="41"/>
    </row>
    <row r="196" spans="1:19" x14ac:dyDescent="0.25">
      <c r="A196">
        <v>33</v>
      </c>
      <c r="B196" s="16" t="s">
        <v>146</v>
      </c>
      <c r="C196" s="8">
        <v>10</v>
      </c>
      <c r="D196" s="9" t="s">
        <v>54</v>
      </c>
      <c r="E196" s="27">
        <v>25750</v>
      </c>
      <c r="F196" s="27">
        <v>98750</v>
      </c>
      <c r="G196" s="27">
        <f>$Y$5+$W$5*$AA$5+$AC$5</f>
        <v>31750</v>
      </c>
      <c r="H196" s="27">
        <f>$Y$5+$W$5*$AA$5+$AC$5</f>
        <v>31750</v>
      </c>
      <c r="I196" s="27">
        <f>$Y$5+$W$5*$AA$5+$AC$5</f>
        <v>31750</v>
      </c>
      <c r="J196" s="27">
        <f>$Y$5+$W$5*$AA$5+$AC$5</f>
        <v>31750</v>
      </c>
      <c r="K196" s="27">
        <f>$Y$5+$W$5*$AA$5+$AC$5</f>
        <v>31750</v>
      </c>
      <c r="L196" s="27">
        <f>$Y$5+$W$5*$AA$5+$AC$5</f>
        <v>31750</v>
      </c>
      <c r="M196" s="47">
        <f>$Y$5+$W$5*$AA$5+$AC$5</f>
        <v>31750</v>
      </c>
      <c r="N196" s="47">
        <f>$Y$5+$W$5*$AA$5+$AC$5</f>
        <v>31750</v>
      </c>
      <c r="O196" s="47">
        <f>$Y$5+$W$5*$AA$5+$AC$5</f>
        <v>31750</v>
      </c>
      <c r="P196" s="47">
        <f>$Y$5+$W$5*$AA$5+$AC$5</f>
        <v>31750</v>
      </c>
      <c r="Q196" s="28">
        <f>SUM(E196:L196,M196,N196,O196,P196)</f>
        <v>442000</v>
      </c>
      <c r="R196" s="42">
        <v>50000</v>
      </c>
      <c r="S196" s="41"/>
    </row>
    <row r="197" spans="1:19" x14ac:dyDescent="0.25">
      <c r="A197">
        <v>34</v>
      </c>
      <c r="B197" s="16" t="s">
        <v>146</v>
      </c>
      <c r="C197" s="8">
        <v>10</v>
      </c>
      <c r="D197" s="11" t="s">
        <v>55</v>
      </c>
      <c r="E197" s="27">
        <v>25750</v>
      </c>
      <c r="F197" s="27">
        <v>98750</v>
      </c>
      <c r="G197" s="27">
        <f>$Y$5+$W$5*$AA$5+$AC$5</f>
        <v>31750</v>
      </c>
      <c r="H197" s="27">
        <f>$Y$5+$W$5*$AA$5+$AC$5</f>
        <v>31750</v>
      </c>
      <c r="I197" s="27">
        <f>$Y$5+$W$5*$AA$5+$AC$5</f>
        <v>31750</v>
      </c>
      <c r="J197" s="27">
        <f>$Y$5+$W$5*$AA$5+$AC$5</f>
        <v>31750</v>
      </c>
      <c r="K197" s="27">
        <f>$Y$5+$W$5*$AA$5+$AC$5</f>
        <v>31750</v>
      </c>
      <c r="L197" s="27">
        <f>$Y$5+$W$5*$AA$5+$AC$5</f>
        <v>31750</v>
      </c>
      <c r="M197" s="47">
        <f>$Y$5+$W$5*$AA$5+$AC$5</f>
        <v>31750</v>
      </c>
      <c r="N197" s="47">
        <f>$Y$5+$W$5*$AA$5+$AC$5</f>
        <v>31750</v>
      </c>
      <c r="O197" s="47">
        <f>$Y$5+$W$5*$AA$5+$AC$5</f>
        <v>31750</v>
      </c>
      <c r="P197" s="47">
        <f>$Y$5+$W$5*$AA$5+$AC$5</f>
        <v>31750</v>
      </c>
      <c r="Q197" s="28">
        <f>SUM(E197:L197,M197,N197,O197,P197)</f>
        <v>442000</v>
      </c>
      <c r="R197" s="42">
        <v>50000</v>
      </c>
      <c r="S197" s="41"/>
    </row>
    <row r="198" spans="1:19" x14ac:dyDescent="0.25">
      <c r="A198">
        <v>35</v>
      </c>
      <c r="B198" s="8" t="s">
        <v>138</v>
      </c>
      <c r="C198" s="8">
        <v>10</v>
      </c>
      <c r="D198" s="9" t="s">
        <v>35</v>
      </c>
      <c r="E198" s="27">
        <v>19500</v>
      </c>
      <c r="F198" s="27">
        <v>79500</v>
      </c>
      <c r="G198" s="27">
        <f>$AC$4</f>
        <v>17500</v>
      </c>
      <c r="H198" s="27">
        <f>$AC$4</f>
        <v>17500</v>
      </c>
      <c r="I198" s="27">
        <f>$AC$4</f>
        <v>17500</v>
      </c>
      <c r="J198" s="27">
        <f>$AC$4</f>
        <v>17500</v>
      </c>
      <c r="K198" s="27">
        <f>$AC$4</f>
        <v>17500</v>
      </c>
      <c r="L198" s="27">
        <f>$AC$4</f>
        <v>17500</v>
      </c>
      <c r="M198" s="47">
        <f>$AC$4</f>
        <v>17500</v>
      </c>
      <c r="N198" s="47">
        <f>$AC$4</f>
        <v>17500</v>
      </c>
      <c r="O198" s="47">
        <f>$AC$4</f>
        <v>17500</v>
      </c>
      <c r="P198" s="47">
        <f>$AC$4</f>
        <v>17500</v>
      </c>
      <c r="Q198" s="28">
        <f>SUM(E198:L198,M198,N198,O198,P198)</f>
        <v>274000</v>
      </c>
      <c r="R198" s="42">
        <v>50000</v>
      </c>
      <c r="S198" s="41"/>
    </row>
    <row r="199" spans="1:19" x14ac:dyDescent="0.25">
      <c r="A199">
        <v>36</v>
      </c>
      <c r="B199" s="16" t="s">
        <v>146</v>
      </c>
      <c r="C199" s="8">
        <v>10</v>
      </c>
      <c r="D199" s="9" t="s">
        <v>36</v>
      </c>
      <c r="E199" s="27">
        <v>25750</v>
      </c>
      <c r="F199" s="27">
        <v>98750</v>
      </c>
      <c r="G199" s="27">
        <f>$Y$5+$W$5*$AA$5+$AC$5</f>
        <v>31750</v>
      </c>
      <c r="H199" s="27">
        <f>$Y$5+$W$5*$AA$5+$AC$5</f>
        <v>31750</v>
      </c>
      <c r="I199" s="27">
        <f>$Y$5+$W$5*$AA$5+$AC$5</f>
        <v>31750</v>
      </c>
      <c r="J199" s="27">
        <f>$Y$5+$W$5*$AA$5+$AC$5</f>
        <v>31750</v>
      </c>
      <c r="K199" s="27">
        <f>$Y$5+$W$5*$AA$5+$AC$5</f>
        <v>31750</v>
      </c>
      <c r="L199" s="27">
        <f>$Y$5+$W$5*$AA$5+$AC$5</f>
        <v>31750</v>
      </c>
      <c r="M199" s="47">
        <f>$Y$5+$W$5*$AA$5+$AC$5</f>
        <v>31750</v>
      </c>
      <c r="N199" s="47">
        <f>$Y$5+$W$5*$AA$5+$AC$5</f>
        <v>31750</v>
      </c>
      <c r="O199" s="47">
        <f>$Y$5+$W$5*$AA$5+$AC$5</f>
        <v>31750</v>
      </c>
      <c r="P199" s="47">
        <f>$Y$5+$W$5*$AA$5+$AC$5</f>
        <v>31750</v>
      </c>
      <c r="Q199" s="28">
        <f>SUM(E199:L199,M199,N199,O199,P199)</f>
        <v>442000</v>
      </c>
      <c r="R199" s="42">
        <v>50000</v>
      </c>
      <c r="S199" s="41"/>
    </row>
    <row r="200" spans="1:19" x14ac:dyDescent="0.25">
      <c r="A200">
        <v>37</v>
      </c>
      <c r="B200" s="16" t="s">
        <v>146</v>
      </c>
      <c r="C200" s="8">
        <v>12</v>
      </c>
      <c r="D200" s="9" t="s">
        <v>37</v>
      </c>
      <c r="E200" s="27">
        <v>25750</v>
      </c>
      <c r="F200" s="27">
        <v>98750</v>
      </c>
      <c r="G200" s="27">
        <f>$Z$5+$X$5*$AA$5+$AD$5</f>
        <v>51750</v>
      </c>
      <c r="H200" s="27">
        <f>$Z$5+$X$5*$AA$5+$AD$5</f>
        <v>51750</v>
      </c>
      <c r="I200" s="27">
        <f>$Z$5+$X$5*$AA$5+$AD$5</f>
        <v>51750</v>
      </c>
      <c r="J200" s="27">
        <f>$Z$5+$X$5*$AA$5+$AD$5</f>
        <v>51750</v>
      </c>
      <c r="K200" s="27">
        <f>$Z$5+$X$5*$AA$5+$AD$5</f>
        <v>51750</v>
      </c>
      <c r="L200" s="27">
        <f>$Z$5+$X$5*$AA$5+$AD$5</f>
        <v>51750</v>
      </c>
      <c r="M200" s="47">
        <f>$Z$5+$X$5*$AA$5+$AD$5</f>
        <v>51750</v>
      </c>
      <c r="N200" s="47">
        <f>$Z$5+$X$5*$AA$5+$AD$5</f>
        <v>51750</v>
      </c>
      <c r="O200" s="47">
        <f>$Z$5+$X$5*$AA$5+$AD$5</f>
        <v>51750</v>
      </c>
      <c r="P200" s="47">
        <f>$Z$5+$X$5*$AA$5+$AD$5</f>
        <v>51750</v>
      </c>
      <c r="Q200" s="28">
        <f>SUM(E200:L200,M200,N200,O200,P200)</f>
        <v>642000</v>
      </c>
      <c r="R200" s="42">
        <v>50000</v>
      </c>
      <c r="S200" s="41"/>
    </row>
    <row r="201" spans="1:19" x14ac:dyDescent="0.25">
      <c r="A201">
        <v>38</v>
      </c>
      <c r="B201" s="16" t="s">
        <v>145</v>
      </c>
      <c r="C201" s="8">
        <v>12</v>
      </c>
      <c r="D201" s="11" t="s">
        <v>56</v>
      </c>
      <c r="E201" s="27">
        <v>25750</v>
      </c>
      <c r="F201" s="27">
        <v>98750</v>
      </c>
      <c r="G201" s="27">
        <f>$Z$6+$X$6*$AA$6+$AD$6</f>
        <v>51750</v>
      </c>
      <c r="H201" s="27">
        <f>$Z$6+$X$6*$AA$6+$AD$6</f>
        <v>51750</v>
      </c>
      <c r="I201" s="27">
        <f>$Z$6+$X$6*$AA$6+$AD$6</f>
        <v>51750</v>
      </c>
      <c r="J201" s="27">
        <f>$Z$6+$X$6*$AA$6+$AD$6</f>
        <v>51750</v>
      </c>
      <c r="K201" s="27">
        <f>$Z$6+$X$6*$AA$6+$AD$6</f>
        <v>51750</v>
      </c>
      <c r="L201" s="27">
        <f>$Z$6+$X$6*$AA$6+$AD$6</f>
        <v>51750</v>
      </c>
      <c r="M201" s="47">
        <f>$Z$6+$X$6*$AA$6+$AD$6</f>
        <v>51750</v>
      </c>
      <c r="N201" s="47">
        <f>$Z$6+$X$6*$AA$6+$AD$6</f>
        <v>51750</v>
      </c>
      <c r="O201" s="47">
        <f>$Z$6+$X$6*$AA$6+$AD$6</f>
        <v>51750</v>
      </c>
      <c r="P201" s="47">
        <f>$Z$6+$X$6*$AA$6+$AD$6</f>
        <v>51750</v>
      </c>
      <c r="Q201" s="28">
        <f>SUM(E201:L201,M201,N201,O201,P201)</f>
        <v>642000</v>
      </c>
      <c r="R201" s="42">
        <v>50000</v>
      </c>
      <c r="S201" s="41"/>
    </row>
    <row r="202" spans="1:19" x14ac:dyDescent="0.25">
      <c r="A202">
        <v>39</v>
      </c>
      <c r="B202" s="14" t="s">
        <v>59</v>
      </c>
      <c r="C202" s="8">
        <v>12</v>
      </c>
      <c r="D202" s="11" t="s">
        <v>57</v>
      </c>
      <c r="E202" s="27">
        <v>54750</v>
      </c>
      <c r="F202" s="27">
        <v>126750</v>
      </c>
      <c r="G202" s="27">
        <f>$Z$11+$X$11*$AA$11+$AD$11+$AE$11</f>
        <v>61750</v>
      </c>
      <c r="H202" s="27">
        <f>$Z$11+$X$11*$AA$11+$AD$11+$AE$11</f>
        <v>61750</v>
      </c>
      <c r="I202" s="27">
        <f>$Z$11+$X$11*$AA$11+$AD$11+$AE$11</f>
        <v>61750</v>
      </c>
      <c r="J202" s="27">
        <f>$Z$11+$X$11*$AA$11+$AD$11+$AE$11</f>
        <v>61750</v>
      </c>
      <c r="K202" s="27">
        <f>$Z$11+$X$11*$AA$11+$AD$11+$AE$11</f>
        <v>61750</v>
      </c>
      <c r="L202" s="27">
        <f>$Z$11+$X$11*$AA$11+$AD$11+$AE$11</f>
        <v>61750</v>
      </c>
      <c r="M202" s="47">
        <f>$Z$11+$X$11*$AA$11+$AD$11+$AE$11</f>
        <v>61750</v>
      </c>
      <c r="N202" s="47">
        <f>$Z$11+$X$11*$AA$11+$AD$11+$AE$11</f>
        <v>61750</v>
      </c>
      <c r="O202" s="47">
        <f>$Z$11+$X$11*$AA$11+$AD$11+$AE$11</f>
        <v>61750</v>
      </c>
      <c r="P202" s="47">
        <f>$Z$11+$X$11*$AA$11+$AD$11+$AE$11</f>
        <v>61750</v>
      </c>
      <c r="Q202" s="28">
        <f>SUM(E202:L202,M202,N202,O202,P202)</f>
        <v>799000</v>
      </c>
      <c r="R202" s="42">
        <v>50000</v>
      </c>
      <c r="S202" s="41"/>
    </row>
    <row r="203" spans="1:19" x14ac:dyDescent="0.25">
      <c r="A203">
        <v>40</v>
      </c>
      <c r="B203" s="16" t="s">
        <v>146</v>
      </c>
      <c r="C203" s="8">
        <v>10</v>
      </c>
      <c r="D203" s="9" t="s">
        <v>38</v>
      </c>
      <c r="E203" s="27">
        <v>25750</v>
      </c>
      <c r="F203" s="27">
        <v>98750</v>
      </c>
      <c r="G203" s="27">
        <f>$Y$5+$W$5*$AA$5+$AC$5</f>
        <v>31750</v>
      </c>
      <c r="H203" s="27">
        <f>$Y$5+$W$5*$AA$5+$AC$5</f>
        <v>31750</v>
      </c>
      <c r="I203" s="27">
        <f>$Y$5+$W$5*$AA$5+$AC$5</f>
        <v>31750</v>
      </c>
      <c r="J203" s="27">
        <f>$Y$5+$W$5*$AA$5+$AC$5</f>
        <v>31750</v>
      </c>
      <c r="K203" s="27">
        <f>$Y$5+$W$5*$AA$5+$AC$5</f>
        <v>31750</v>
      </c>
      <c r="L203" s="27">
        <f>$Y$5+$W$5*$AA$5+$AC$5</f>
        <v>31750</v>
      </c>
      <c r="M203" s="47">
        <f>$Y$5+$W$5*$AA$5+$AC$5</f>
        <v>31750</v>
      </c>
      <c r="N203" s="47">
        <f>$Y$5+$W$5*$AA$5+$AC$5</f>
        <v>31750</v>
      </c>
      <c r="O203" s="47">
        <f>$Y$5+$W$5*$AA$5+$AC$5</f>
        <v>31750</v>
      </c>
      <c r="P203" s="47">
        <f>$Y$5+$W$5*$AA$5+$AC$5</f>
        <v>31750</v>
      </c>
      <c r="Q203" s="28">
        <f>SUM(E203:L203,M203,N203,O203,P203)</f>
        <v>442000</v>
      </c>
      <c r="R203" s="42">
        <v>50000</v>
      </c>
      <c r="S203" s="41"/>
    </row>
    <row r="204" spans="1:19" x14ac:dyDescent="0.25">
      <c r="A204">
        <v>41</v>
      </c>
      <c r="B204" s="16" t="s">
        <v>146</v>
      </c>
      <c r="C204" s="31">
        <v>10</v>
      </c>
      <c r="D204" s="13" t="s">
        <v>39</v>
      </c>
      <c r="E204" s="27">
        <v>25750</v>
      </c>
      <c r="F204" s="27">
        <v>98750</v>
      </c>
      <c r="G204" s="27">
        <f>$Y$5+$W$5*$AA$5+$AC$5</f>
        <v>31750</v>
      </c>
      <c r="H204" s="27">
        <f>$Y$5+$W$5*$AA$5+$AC$5</f>
        <v>31750</v>
      </c>
      <c r="I204" s="27">
        <f>$Y$5+$W$5*$AA$5+$AC$5</f>
        <v>31750</v>
      </c>
      <c r="J204" s="27">
        <f>$Y$5+$W$5*$AA$5+$AC$5</f>
        <v>31750</v>
      </c>
      <c r="K204" s="27">
        <f>$Y$5+$W$5*$AA$5+$AC$5</f>
        <v>31750</v>
      </c>
      <c r="L204" s="27">
        <f>$Y$5+$W$5*$AA$5+$AC$5</f>
        <v>31750</v>
      </c>
      <c r="M204" s="47">
        <f>$Y$5+$W$5*$AA$5+$AC$5</f>
        <v>31750</v>
      </c>
      <c r="N204" s="47">
        <f>$Y$5+$W$5*$AA$5+$AC$5</f>
        <v>31750</v>
      </c>
      <c r="O204" s="47">
        <f>$Y$5+$W$5*$AA$5+$AC$5</f>
        <v>31750</v>
      </c>
      <c r="P204" s="47">
        <f>$Y$5+$W$5*$AA$5+$AC$5</f>
        <v>31750</v>
      </c>
      <c r="Q204" s="28">
        <f>SUM(E204:L204,M204,N204,O204,P204)</f>
        <v>442000</v>
      </c>
      <c r="R204" s="42">
        <v>50000</v>
      </c>
      <c r="S204" s="41"/>
    </row>
    <row r="205" spans="1:19" x14ac:dyDescent="0.25">
      <c r="A205">
        <v>42</v>
      </c>
      <c r="B205" s="15" t="s">
        <v>68</v>
      </c>
      <c r="C205" s="8">
        <v>10</v>
      </c>
      <c r="D205" s="11" t="s">
        <v>58</v>
      </c>
      <c r="E205" s="27">
        <v>25750</v>
      </c>
      <c r="F205" s="27">
        <v>98750</v>
      </c>
      <c r="G205" s="27">
        <f>$Y$15+$W$15*$AA$15+$AC$15</f>
        <v>31750</v>
      </c>
      <c r="H205" s="27">
        <f>$Y$15+$W$15*$AA$15+$AC$15</f>
        <v>31750</v>
      </c>
      <c r="I205" s="27">
        <f>$Y$15+$W$15*$AA$15+$AC$15</f>
        <v>31750</v>
      </c>
      <c r="J205" s="27">
        <f>$Y$15+$W$15*$AA$15+$AC$15</f>
        <v>31750</v>
      </c>
      <c r="K205" s="27">
        <f>$Y$15+$W$15*$AA$15+$AC$15</f>
        <v>31750</v>
      </c>
      <c r="L205" s="27">
        <f>$Y$15+$W$15*$AA$15+$AC$15</f>
        <v>31750</v>
      </c>
      <c r="M205" s="47">
        <f>$Y$15+$W$15*$AA$15+$AC$15</f>
        <v>31750</v>
      </c>
      <c r="N205" s="47">
        <f>$Y$15+$W$15*$AA$15+$AC$15</f>
        <v>31750</v>
      </c>
      <c r="O205" s="47">
        <f>$Y$15+$W$15*$AA$15+$AC$15</f>
        <v>31750</v>
      </c>
      <c r="P205" s="47">
        <f>$Y$15+$W$15*$AA$15+$AC$15</f>
        <v>31750</v>
      </c>
      <c r="Q205" s="28">
        <f>SUM(E205:L205,M205,N205,O205,P205)</f>
        <v>442000</v>
      </c>
      <c r="R205" s="42">
        <v>50000</v>
      </c>
      <c r="S205" s="41"/>
    </row>
    <row r="206" spans="1:19" x14ac:dyDescent="0.25">
      <c r="A206">
        <v>43</v>
      </c>
      <c r="B206" s="16" t="s">
        <v>146</v>
      </c>
      <c r="C206" s="8">
        <v>10</v>
      </c>
      <c r="D206" s="9" t="s">
        <v>40</v>
      </c>
      <c r="E206" s="27">
        <v>25750</v>
      </c>
      <c r="F206" s="27">
        <v>98750</v>
      </c>
      <c r="G206" s="27">
        <f>$Y$5+$W$5*$AA$5+$AC$5</f>
        <v>31750</v>
      </c>
      <c r="H206" s="27">
        <f>$Y$5+$W$5*$AA$5+$AC$5</f>
        <v>31750</v>
      </c>
      <c r="I206" s="27">
        <f>$Y$5+$W$5*$AA$5+$AC$5</f>
        <v>31750</v>
      </c>
      <c r="J206" s="27">
        <f>$Y$5+$W$5*$AA$5+$AC$5</f>
        <v>31750</v>
      </c>
      <c r="K206" s="27">
        <f>$Y$5+$W$5*$AA$5+$AC$5</f>
        <v>31750</v>
      </c>
      <c r="L206" s="27">
        <f>$Y$5+$W$5*$AA$5+$AC$5</f>
        <v>31750</v>
      </c>
      <c r="M206" s="47">
        <f>$Y$5+$W$5*$AA$5+$AC$5</f>
        <v>31750</v>
      </c>
      <c r="N206" s="47">
        <f>$Y$5+$W$5*$AA$5+$AC$5</f>
        <v>31750</v>
      </c>
      <c r="O206" s="47">
        <f>$Y$5+$W$5*$AA$5+$AC$5</f>
        <v>31750</v>
      </c>
      <c r="P206" s="47">
        <f>$Y$5+$W$5*$AA$5+$AC$5</f>
        <v>31750</v>
      </c>
      <c r="Q206" s="28">
        <f>SUM(E206:L206,M206,N206,O206,P206)</f>
        <v>442000</v>
      </c>
      <c r="R206" s="42">
        <v>50000</v>
      </c>
      <c r="S206" s="41"/>
    </row>
    <row r="207" spans="1:19" x14ac:dyDescent="0.25">
      <c r="A207">
        <v>44</v>
      </c>
      <c r="B207" s="32" t="s">
        <v>152</v>
      </c>
      <c r="C207" s="8">
        <v>8</v>
      </c>
      <c r="D207" s="9" t="s">
        <v>156</v>
      </c>
      <c r="E207" s="27">
        <v>0</v>
      </c>
      <c r="F207" s="27">
        <v>0</v>
      </c>
      <c r="G207" s="27">
        <v>0</v>
      </c>
      <c r="H207" s="27">
        <v>0</v>
      </c>
      <c r="I207" s="27">
        <v>15000</v>
      </c>
      <c r="J207" s="27">
        <v>30000</v>
      </c>
      <c r="K207" s="27">
        <v>30000</v>
      </c>
      <c r="L207" s="27">
        <v>30000</v>
      </c>
      <c r="M207" s="47">
        <v>30000</v>
      </c>
      <c r="N207" s="47">
        <v>30000</v>
      </c>
      <c r="O207" s="47">
        <v>30000</v>
      </c>
      <c r="P207" s="47">
        <v>30000</v>
      </c>
      <c r="Q207" s="28">
        <f>SUM(E207:L207,M207,N207,O207,P207)</f>
        <v>225000</v>
      </c>
      <c r="R207" s="42">
        <v>100000</v>
      </c>
      <c r="S207" s="41"/>
    </row>
    <row r="208" spans="1:19" x14ac:dyDescent="0.25">
      <c r="A208">
        <v>45</v>
      </c>
      <c r="B208" s="16" t="s">
        <v>139</v>
      </c>
      <c r="C208" s="8">
        <v>10</v>
      </c>
      <c r="D208" s="9"/>
      <c r="E208" s="27">
        <v>0</v>
      </c>
      <c r="F208" s="27">
        <v>0</v>
      </c>
      <c r="G208" s="27">
        <f>$Y$18+$W$18*$AA$18+$AC$18</f>
        <v>31750</v>
      </c>
      <c r="H208" s="27">
        <f>$Y$18+$W$18*$AA$18+$AC$18</f>
        <v>31750</v>
      </c>
      <c r="I208" s="27">
        <f>$Y$18+$W$18*$AA$18+$AC$18</f>
        <v>31750</v>
      </c>
      <c r="J208" s="27">
        <f>$Y$18+$W$18*$AA$18+$AC$18</f>
        <v>31750</v>
      </c>
      <c r="K208" s="27">
        <f>$Y$18+$W$18*$AA$18+$AC$18</f>
        <v>31750</v>
      </c>
      <c r="L208" s="27">
        <f>$Y$18+$W$18*$AA$18+$AC$18</f>
        <v>31750</v>
      </c>
      <c r="M208" s="47">
        <f>$Y$18+$W$18*$AA$18+$AC$18</f>
        <v>31750</v>
      </c>
      <c r="N208" s="47">
        <f>$Y$18+$W$18*$AA$18+$AC$18</f>
        <v>31750</v>
      </c>
      <c r="O208" s="47">
        <f>$Y$18+$W$18*$AA$18+$AC$18</f>
        <v>31750</v>
      </c>
      <c r="P208" s="47">
        <f>$Y$18+$W$18*$AA$18+$AC$18</f>
        <v>31750</v>
      </c>
      <c r="Q208" s="28">
        <f>SUM(E208:L208,M208,N208,O208,P208)</f>
        <v>317500</v>
      </c>
      <c r="R208" s="42">
        <v>50000</v>
      </c>
      <c r="S208" s="41"/>
    </row>
    <row r="209" spans="1:19" x14ac:dyDescent="0.25">
      <c r="A209">
        <v>46</v>
      </c>
      <c r="B209" s="16" t="s">
        <v>139</v>
      </c>
      <c r="C209" s="8">
        <v>10</v>
      </c>
      <c r="D209" s="11"/>
      <c r="E209" s="27">
        <v>0</v>
      </c>
      <c r="F209" s="27">
        <v>0</v>
      </c>
      <c r="G209" s="27">
        <f>$Y$18+$W$18*$AA$18+$AC$18</f>
        <v>31750</v>
      </c>
      <c r="H209" s="27">
        <f>$Y$18+$W$18*$AA$18+$AC$18</f>
        <v>31750</v>
      </c>
      <c r="I209" s="27">
        <f>$Y$18+$W$18*$AA$18+$AC$18</f>
        <v>31750</v>
      </c>
      <c r="J209" s="27">
        <f>$Y$18+$W$18*$AA$18+$AC$18</f>
        <v>31750</v>
      </c>
      <c r="K209" s="27">
        <f>$Y$18+$W$18*$AA$18+$AC$18</f>
        <v>31750</v>
      </c>
      <c r="L209" s="27">
        <f>$Y$18+$W$18*$AA$18+$AC$18</f>
        <v>31750</v>
      </c>
      <c r="M209" s="47">
        <f>$Y$18+$W$18*$AA$18+$AC$18</f>
        <v>31750</v>
      </c>
      <c r="N209" s="47">
        <f>$Y$18+$W$18*$AA$18+$AC$18</f>
        <v>31750</v>
      </c>
      <c r="O209" s="47">
        <f>$Y$18+$W$18*$AA$18+$AC$18</f>
        <v>31750</v>
      </c>
      <c r="P209" s="47">
        <f>$Y$18+$W$18*$AA$18+$AC$18</f>
        <v>31750</v>
      </c>
      <c r="Q209" s="28">
        <f>SUM(E209:L209,M209,N209,O209,P209)</f>
        <v>317500</v>
      </c>
      <c r="R209" s="42">
        <v>50000</v>
      </c>
      <c r="S209" s="41"/>
    </row>
    <row r="210" spans="1:19" x14ac:dyDescent="0.25">
      <c r="A210">
        <v>47</v>
      </c>
      <c r="B210" s="16" t="s">
        <v>139</v>
      </c>
      <c r="C210" s="8">
        <v>10</v>
      </c>
      <c r="D210" s="11"/>
      <c r="E210" s="27">
        <v>0</v>
      </c>
      <c r="F210" s="27">
        <v>0</v>
      </c>
      <c r="G210" s="27">
        <f>$Y$18+$W$18*$AA$18+$AC$18</f>
        <v>31750</v>
      </c>
      <c r="H210" s="27">
        <f>$Y$18+$W$18*$AA$18+$AC$18</f>
        <v>31750</v>
      </c>
      <c r="I210" s="27">
        <f>$Y$18+$W$18*$AA$18+$AC$18</f>
        <v>31750</v>
      </c>
      <c r="J210" s="27">
        <f>$Y$18+$W$18*$AA$18+$AC$18</f>
        <v>31750</v>
      </c>
      <c r="K210" s="27">
        <f>$Y$18+$W$18*$AA$18+$AC$18</f>
        <v>31750</v>
      </c>
      <c r="L210" s="27">
        <f>$Y$18+$W$18*$AA$18+$AC$18</f>
        <v>31750</v>
      </c>
      <c r="M210" s="47">
        <f>$Y$18+$W$18*$AA$18+$AC$18</f>
        <v>31750</v>
      </c>
      <c r="N210" s="47">
        <f>$Y$18+$W$18*$AA$18+$AC$18</f>
        <v>31750</v>
      </c>
      <c r="O210" s="47">
        <f>$Y$18+$W$18*$AA$18+$AC$18</f>
        <v>31750</v>
      </c>
      <c r="P210" s="47">
        <f>$Y$18+$W$18*$AA$18+$AC$18</f>
        <v>31750</v>
      </c>
      <c r="Q210" s="28">
        <f>SUM(E210:L210,M210,N210,O210,P210)</f>
        <v>317500</v>
      </c>
      <c r="R210" s="42">
        <v>50000</v>
      </c>
      <c r="S210" s="41"/>
    </row>
    <row r="211" spans="1:19" x14ac:dyDescent="0.25">
      <c r="A211">
        <v>48</v>
      </c>
      <c r="B211" s="16" t="s">
        <v>139</v>
      </c>
      <c r="C211" s="8">
        <v>10</v>
      </c>
      <c r="D211" s="11"/>
      <c r="E211" s="27">
        <v>0</v>
      </c>
      <c r="F211" s="27">
        <v>0</v>
      </c>
      <c r="G211" s="27">
        <f>$Y$18+$W$18*$AA$18+$AC$18</f>
        <v>31750</v>
      </c>
      <c r="H211" s="27">
        <f>$Y$18+$W$18*$AA$18+$AC$18</f>
        <v>31750</v>
      </c>
      <c r="I211" s="27">
        <f>$Y$18+$W$18*$AA$18+$AC$18</f>
        <v>31750</v>
      </c>
      <c r="J211" s="27">
        <f>$Y$18+$W$18*$AA$18+$AC$18</f>
        <v>31750</v>
      </c>
      <c r="K211" s="27">
        <f>$Y$18+$W$18*$AA$18+$AC$18</f>
        <v>31750</v>
      </c>
      <c r="L211" s="27">
        <f>$Y$18+$W$18*$AA$18+$AC$18</f>
        <v>31750</v>
      </c>
      <c r="M211" s="47">
        <f>$Y$18+$W$18*$AA$18+$AC$18</f>
        <v>31750</v>
      </c>
      <c r="N211" s="47">
        <f>$Y$18+$W$18*$AA$18+$AC$18</f>
        <v>31750</v>
      </c>
      <c r="O211" s="47">
        <f>$Y$18+$W$18*$AA$18+$AC$18</f>
        <v>31750</v>
      </c>
      <c r="P211" s="47">
        <f>$Y$18+$W$18*$AA$18+$AC$18</f>
        <v>31750</v>
      </c>
      <c r="Q211" s="28">
        <f>SUM(E211:L211,M211,N211,O211,P211)</f>
        <v>317500</v>
      </c>
      <c r="R211" s="42">
        <v>50000</v>
      </c>
      <c r="S211" s="41"/>
    </row>
    <row r="212" spans="1:19" x14ac:dyDescent="0.25">
      <c r="A212">
        <v>49</v>
      </c>
      <c r="B212" s="16" t="s">
        <v>139</v>
      </c>
      <c r="C212" s="8">
        <v>10</v>
      </c>
      <c r="D212" s="11"/>
      <c r="E212" s="27">
        <v>0</v>
      </c>
      <c r="F212" s="27">
        <v>0</v>
      </c>
      <c r="G212" s="27">
        <f>$Y$18+$W$18*$AA$18+$AC$18</f>
        <v>31750</v>
      </c>
      <c r="H212" s="27">
        <f>$Y$18+$W$18*$AA$18+$AC$18</f>
        <v>31750</v>
      </c>
      <c r="I212" s="27">
        <f>$Y$18+$W$18*$AA$18+$AC$18</f>
        <v>31750</v>
      </c>
      <c r="J212" s="27">
        <f>$Y$18+$W$18*$AA$18+$AC$18</f>
        <v>31750</v>
      </c>
      <c r="K212" s="27">
        <f>$Y$18+$W$18*$AA$18+$AC$18</f>
        <v>31750</v>
      </c>
      <c r="L212" s="27">
        <f>$Y$18+$W$18*$AA$18+$AC$18</f>
        <v>31750</v>
      </c>
      <c r="M212" s="47">
        <f>$Y$18+$W$18*$AA$18+$AC$18</f>
        <v>31750</v>
      </c>
      <c r="N212" s="47">
        <f>$Y$18+$W$18*$AA$18+$AC$18</f>
        <v>31750</v>
      </c>
      <c r="O212" s="47">
        <f>$Y$18+$W$18*$AA$18+$AC$18</f>
        <v>31750</v>
      </c>
      <c r="P212" s="47">
        <f>$Y$18+$W$18*$AA$18+$AC$18</f>
        <v>31750</v>
      </c>
      <c r="Q212" s="28">
        <f>SUM(E212:L212,M212,N212,O212,P212)</f>
        <v>317500</v>
      </c>
      <c r="R212" s="42">
        <v>50000</v>
      </c>
      <c r="S212" s="41"/>
    </row>
    <row r="213" spans="1:19" x14ac:dyDescent="0.25">
      <c r="A213">
        <v>50</v>
      </c>
      <c r="B213" s="16" t="s">
        <v>139</v>
      </c>
      <c r="C213" s="8">
        <v>10</v>
      </c>
      <c r="D213" s="11"/>
      <c r="E213" s="27">
        <v>0</v>
      </c>
      <c r="F213" s="27">
        <v>0</v>
      </c>
      <c r="G213" s="27">
        <f>$Y$18+$W$18*$AA$18+$AC$18</f>
        <v>31750</v>
      </c>
      <c r="H213" s="27">
        <f>$Y$18+$W$18*$AA$18+$AC$18</f>
        <v>31750</v>
      </c>
      <c r="I213" s="27">
        <f>$Y$18+$W$18*$AA$18+$AC$18</f>
        <v>31750</v>
      </c>
      <c r="J213" s="27">
        <f>$Y$18+$W$18*$AA$18+$AC$18</f>
        <v>31750</v>
      </c>
      <c r="K213" s="27">
        <f>$Y$18+$W$18*$AA$18+$AC$18</f>
        <v>31750</v>
      </c>
      <c r="L213" s="27">
        <f>$Y$18+$W$18*$AA$18+$AC$18</f>
        <v>31750</v>
      </c>
      <c r="M213" s="47">
        <f>$Y$18+$W$18*$AA$18+$AC$18</f>
        <v>31750</v>
      </c>
      <c r="N213" s="47">
        <f>$Y$18+$W$18*$AA$18+$AC$18</f>
        <v>31750</v>
      </c>
      <c r="O213" s="47">
        <f>$Y$18+$W$18*$AA$18+$AC$18</f>
        <v>31750</v>
      </c>
      <c r="P213" s="47">
        <f>$Y$18+$W$18*$AA$18+$AC$18</f>
        <v>31750</v>
      </c>
      <c r="Q213" s="28">
        <f>SUM(E213:L213,M213,N213,O213,P213)</f>
        <v>317500</v>
      </c>
      <c r="R213" s="42">
        <v>50000</v>
      </c>
      <c r="S213" s="41"/>
    </row>
    <row r="214" spans="1:19" x14ac:dyDescent="0.25">
      <c r="A214">
        <v>51</v>
      </c>
      <c r="B214" s="16" t="s">
        <v>139</v>
      </c>
      <c r="C214" s="8">
        <v>10</v>
      </c>
      <c r="D214" s="11"/>
      <c r="E214" s="27">
        <v>0</v>
      </c>
      <c r="F214" s="27">
        <v>0</v>
      </c>
      <c r="G214" s="27">
        <f>$Y$18+$W$18*$AA$18+$AC$18</f>
        <v>31750</v>
      </c>
      <c r="H214" s="27">
        <f>$Y$18+$W$18*$AA$18+$AC$18</f>
        <v>31750</v>
      </c>
      <c r="I214" s="27">
        <f>$Y$18+$W$18*$AA$18+$AC$18</f>
        <v>31750</v>
      </c>
      <c r="J214" s="27">
        <f>$Y$18+$W$18*$AA$18+$AC$18</f>
        <v>31750</v>
      </c>
      <c r="K214" s="27">
        <f>$Y$18+$W$18*$AA$18+$AC$18</f>
        <v>31750</v>
      </c>
      <c r="L214" s="27">
        <f>$Y$18+$W$18*$AA$18+$AC$18</f>
        <v>31750</v>
      </c>
      <c r="M214" s="47">
        <f>$Y$18+$W$18*$AA$18+$AC$18</f>
        <v>31750</v>
      </c>
      <c r="N214" s="47">
        <f>$Y$18+$W$18*$AA$18+$AC$18</f>
        <v>31750</v>
      </c>
      <c r="O214" s="47">
        <f>$Y$18+$W$18*$AA$18+$AC$18</f>
        <v>31750</v>
      </c>
      <c r="P214" s="47">
        <f>$Y$18+$W$18*$AA$18+$AC$18</f>
        <v>31750</v>
      </c>
      <c r="Q214" s="28">
        <f>SUM(E214:L214,M214,N214,O214,P214)</f>
        <v>317500</v>
      </c>
      <c r="R214" s="42">
        <v>50000</v>
      </c>
      <c r="S214" s="41"/>
    </row>
    <row r="215" spans="1:19" x14ac:dyDescent="0.25">
      <c r="A215">
        <v>52</v>
      </c>
      <c r="B215" s="16" t="s">
        <v>139</v>
      </c>
      <c r="C215" s="8">
        <v>10</v>
      </c>
      <c r="D215" s="11"/>
      <c r="E215" s="27">
        <v>0</v>
      </c>
      <c r="F215" s="27">
        <v>0</v>
      </c>
      <c r="G215" s="27">
        <f>$Y$18+$W$18*$AA$18+$AC$18</f>
        <v>31750</v>
      </c>
      <c r="H215" s="27">
        <f>$Y$18+$W$18*$AA$18+$AC$18</f>
        <v>31750</v>
      </c>
      <c r="I215" s="27">
        <f>$Y$18+$W$18*$AA$18+$AC$18</f>
        <v>31750</v>
      </c>
      <c r="J215" s="27">
        <f>$Y$18+$W$18*$AA$18+$AC$18</f>
        <v>31750</v>
      </c>
      <c r="K215" s="27">
        <f>$Y$18+$W$18*$AA$18+$AC$18</f>
        <v>31750</v>
      </c>
      <c r="L215" s="27">
        <f>$Y$18+$W$18*$AA$18+$AC$18</f>
        <v>31750</v>
      </c>
      <c r="M215" s="47">
        <f>$Y$18+$W$18*$AA$18+$AC$18</f>
        <v>31750</v>
      </c>
      <c r="N215" s="47">
        <f>$Y$18+$W$18*$AA$18+$AC$18</f>
        <v>31750</v>
      </c>
      <c r="O215" s="47">
        <f>$Y$18+$W$18*$AA$18+$AC$18</f>
        <v>31750</v>
      </c>
      <c r="P215" s="47">
        <f>$Y$18+$W$18*$AA$18+$AC$18</f>
        <v>31750</v>
      </c>
      <c r="Q215" s="28">
        <f>SUM(E215:L215,M215,N215,O215,P215)</f>
        <v>317500</v>
      </c>
      <c r="R215" s="42">
        <v>50000</v>
      </c>
      <c r="S215" s="41"/>
    </row>
    <row r="216" spans="1:19" x14ac:dyDescent="0.25">
      <c r="A216">
        <v>53</v>
      </c>
      <c r="B216" s="16" t="s">
        <v>139</v>
      </c>
      <c r="C216" s="8">
        <v>10</v>
      </c>
      <c r="D216" s="11"/>
      <c r="E216" s="27">
        <v>0</v>
      </c>
      <c r="F216" s="27">
        <v>0</v>
      </c>
      <c r="G216" s="27"/>
      <c r="H216" s="27"/>
      <c r="I216" s="27"/>
      <c r="J216" s="27"/>
      <c r="K216" s="27"/>
      <c r="L216" s="27"/>
      <c r="M216" s="47">
        <f>$Y$18+$W$18*$AA$18+$AC$18</f>
        <v>31750</v>
      </c>
      <c r="N216" s="47">
        <f>$Y$18+$W$18*$AA$18+$AC$18</f>
        <v>31750</v>
      </c>
      <c r="O216" s="47">
        <f>$Y$18+$W$18*$AA$18+$AC$18</f>
        <v>31750</v>
      </c>
      <c r="P216" s="47">
        <f>$Y$18+$W$18*$AA$18+$AC$18</f>
        <v>31750</v>
      </c>
      <c r="Q216" s="28">
        <f>SUM(E216:L216,M216,N216,O216,P216)</f>
        <v>127000</v>
      </c>
      <c r="R216" s="42">
        <v>50000</v>
      </c>
      <c r="S216" s="41"/>
    </row>
    <row r="217" spans="1:19" x14ac:dyDescent="0.25">
      <c r="A217">
        <v>54</v>
      </c>
      <c r="B217" s="16" t="s">
        <v>139</v>
      </c>
      <c r="C217" s="8">
        <v>10</v>
      </c>
      <c r="D217" s="11"/>
      <c r="E217" s="27">
        <v>0</v>
      </c>
      <c r="F217" s="27">
        <v>0</v>
      </c>
      <c r="G217" s="27"/>
      <c r="H217" s="27"/>
      <c r="I217" s="27"/>
      <c r="J217" s="27"/>
      <c r="K217" s="27"/>
      <c r="L217" s="27"/>
      <c r="M217" s="47">
        <f>$Y$18+$W$18*$AA$18+$AC$18</f>
        <v>31750</v>
      </c>
      <c r="N217" s="47">
        <f>$Y$18+$W$18*$AA$18+$AC$18</f>
        <v>31750</v>
      </c>
      <c r="O217" s="47">
        <f>$Y$18+$W$18*$AA$18+$AC$18</f>
        <v>31750</v>
      </c>
      <c r="P217" s="47">
        <f>$Y$18+$W$18*$AA$18+$AC$18</f>
        <v>31750</v>
      </c>
      <c r="Q217" s="28">
        <f>SUM(E217:L217,M217,N217,O217,P217)</f>
        <v>127000</v>
      </c>
      <c r="R217" s="42">
        <v>50000</v>
      </c>
      <c r="S217" s="41"/>
    </row>
    <row r="218" spans="1:19" x14ac:dyDescent="0.25">
      <c r="A218" s="8">
        <v>55</v>
      </c>
      <c r="B218" s="15" t="s">
        <v>140</v>
      </c>
      <c r="C218" s="8">
        <v>10</v>
      </c>
      <c r="D218" s="11"/>
      <c r="E218" s="27">
        <v>0</v>
      </c>
      <c r="F218" s="27">
        <v>0</v>
      </c>
      <c r="G218" s="35">
        <f>$Y$19+$W$19*$AA$19+$AC$19</f>
        <v>31750</v>
      </c>
      <c r="H218" s="35">
        <f>$Y$19+$W$19*$AA$19+$AC$19</f>
        <v>31750</v>
      </c>
      <c r="I218" s="35">
        <f>$Y$19+$W$19*$AA$19+$AC$19</f>
        <v>31750</v>
      </c>
      <c r="J218" s="35">
        <f>$Y$19+$W$19*$AA$19+$AC$19</f>
        <v>31750</v>
      </c>
      <c r="K218" s="35">
        <f>$Y$19+$W$19*$AA$19+$AC$19</f>
        <v>31750</v>
      </c>
      <c r="L218" s="35">
        <f>$Y$19+$W$19*$AA$19+$AC$19</f>
        <v>31750</v>
      </c>
      <c r="M218" s="48">
        <f>$Y$19+$W$19*$AA$19+$AC$19</f>
        <v>31750</v>
      </c>
      <c r="N218" s="48">
        <f>$Y$19+$W$19*$AA$19+$AC$19</f>
        <v>31750</v>
      </c>
      <c r="O218" s="48">
        <f>$Y$19+$W$19*$AA$19+$AC$19</f>
        <v>31750</v>
      </c>
      <c r="P218" s="48">
        <f>$Y$19+$W$19*$AA$19+$AC$19</f>
        <v>31750</v>
      </c>
      <c r="Q218" s="28">
        <f>SUM(E218:L218,M218,N218,O218,P218)</f>
        <v>317500</v>
      </c>
      <c r="R218" s="42">
        <v>50000</v>
      </c>
      <c r="S218" s="41"/>
    </row>
    <row r="219" spans="1:19" x14ac:dyDescent="0.25">
      <c r="A219" s="8">
        <v>56</v>
      </c>
      <c r="B219" s="15" t="s">
        <v>140</v>
      </c>
      <c r="C219" s="8">
        <v>10</v>
      </c>
      <c r="D219" s="11"/>
      <c r="E219" s="27">
        <v>0</v>
      </c>
      <c r="F219" s="27">
        <v>0</v>
      </c>
      <c r="G219" s="35">
        <f>$Y$19+$W$19*$AA$19+$AC$19</f>
        <v>31750</v>
      </c>
      <c r="H219" s="35">
        <f>$Y$19+$W$19*$AA$19+$AC$19</f>
        <v>31750</v>
      </c>
      <c r="I219" s="35">
        <f>$Y$19+$W$19*$AA$19+$AC$19</f>
        <v>31750</v>
      </c>
      <c r="J219" s="35">
        <f>$Y$19+$W$19*$AA$19+$AC$19</f>
        <v>31750</v>
      </c>
      <c r="K219" s="35">
        <f>$Y$19+$W$19*$AA$19+$AC$19</f>
        <v>31750</v>
      </c>
      <c r="L219" s="35">
        <f>$Y$19+$W$19*$AA$19+$AC$19</f>
        <v>31750</v>
      </c>
      <c r="M219" s="48">
        <f>$Y$19+$W$19*$AA$19+$AC$19</f>
        <v>31750</v>
      </c>
      <c r="N219" s="48">
        <f>$Y$19+$W$19*$AA$19+$AC$19</f>
        <v>31750</v>
      </c>
      <c r="O219" s="48">
        <f>$Y$19+$W$19*$AA$19+$AC$19</f>
        <v>31750</v>
      </c>
      <c r="P219" s="48">
        <f>$Y$19+$W$19*$AA$19+$AC$19</f>
        <v>31750</v>
      </c>
      <c r="Q219" s="28">
        <f>SUM(E219:L219,M219,N219,O219,P219)</f>
        <v>317500</v>
      </c>
      <c r="R219" s="42">
        <v>50000</v>
      </c>
      <c r="S219" s="41"/>
    </row>
    <row r="220" spans="1:19" x14ac:dyDescent="0.25">
      <c r="A220" s="8">
        <v>57</v>
      </c>
      <c r="B220" s="15" t="s">
        <v>140</v>
      </c>
      <c r="C220" s="8">
        <v>10</v>
      </c>
      <c r="D220" s="11"/>
      <c r="E220" s="27">
        <v>0</v>
      </c>
      <c r="F220" s="27">
        <v>0</v>
      </c>
      <c r="G220" s="35">
        <f>$Y$19+$W$19*$AA$19+$AC$19</f>
        <v>31750</v>
      </c>
      <c r="H220" s="35">
        <f>$Y$19+$W$19*$AA$19+$AC$19</f>
        <v>31750</v>
      </c>
      <c r="I220" s="35">
        <f>$Y$19+$W$19*$AA$19+$AC$19</f>
        <v>31750</v>
      </c>
      <c r="J220" s="35">
        <f>$Y$19+$W$19*$AA$19+$AC$19</f>
        <v>31750</v>
      </c>
      <c r="K220" s="35">
        <f>$Y$19+$W$19*$AA$19+$AC$19</f>
        <v>31750</v>
      </c>
      <c r="L220" s="35">
        <f>$Y$19+$W$19*$AA$19+$AC$19</f>
        <v>31750</v>
      </c>
      <c r="M220" s="48">
        <f>$Y$19+$W$19*$AA$19+$AC$19</f>
        <v>31750</v>
      </c>
      <c r="N220" s="48">
        <f>$Y$19+$W$19*$AA$19+$AC$19</f>
        <v>31750</v>
      </c>
      <c r="O220" s="48">
        <f>$Y$19+$W$19*$AA$19+$AC$19</f>
        <v>31750</v>
      </c>
      <c r="P220" s="48">
        <f>$Y$19+$W$19*$AA$19+$AC$19</f>
        <v>31750</v>
      </c>
      <c r="Q220" s="28">
        <f>SUM(E220:L220,M220,N220,O220,P220)</f>
        <v>317500</v>
      </c>
      <c r="R220" s="42">
        <v>50000</v>
      </c>
      <c r="S220" s="41"/>
    </row>
    <row r="221" spans="1:19" x14ac:dyDescent="0.25">
      <c r="A221" s="8">
        <v>58</v>
      </c>
      <c r="B221" s="24" t="s">
        <v>141</v>
      </c>
      <c r="C221" s="8">
        <v>10</v>
      </c>
      <c r="D221" s="11"/>
      <c r="E221" s="27">
        <v>0</v>
      </c>
      <c r="F221" s="27">
        <v>0</v>
      </c>
      <c r="G221" s="27"/>
      <c r="H221" s="27"/>
      <c r="I221" s="27"/>
      <c r="J221" s="27"/>
      <c r="K221" s="27"/>
      <c r="L221" s="27"/>
      <c r="M221" s="47">
        <f>$Y$17</f>
        <v>16250</v>
      </c>
      <c r="N221" s="47">
        <f>$Y$17</f>
        <v>16250</v>
      </c>
      <c r="O221" s="47">
        <f>$Y$17</f>
        <v>16250</v>
      </c>
      <c r="P221" s="47">
        <f>$Y$17</f>
        <v>16250</v>
      </c>
      <c r="Q221" s="28">
        <f>SUM(E221:L221,M221,N221,O221,P221)</f>
        <v>65000</v>
      </c>
      <c r="R221" s="42">
        <v>50000</v>
      </c>
      <c r="S221" s="41"/>
    </row>
    <row r="222" spans="1:19" x14ac:dyDescent="0.25">
      <c r="A222" s="8">
        <v>59</v>
      </c>
      <c r="B222" s="24" t="s">
        <v>141</v>
      </c>
      <c r="C222" s="8">
        <v>10</v>
      </c>
      <c r="D222" s="11"/>
      <c r="E222" s="27">
        <v>0</v>
      </c>
      <c r="F222" s="27">
        <v>0</v>
      </c>
      <c r="G222" s="27"/>
      <c r="H222" s="27"/>
      <c r="I222" s="27"/>
      <c r="J222" s="27"/>
      <c r="K222" s="27"/>
      <c r="L222" s="27"/>
      <c r="M222" s="47">
        <f>$Y$17</f>
        <v>16250</v>
      </c>
      <c r="N222" s="47">
        <f>$Y$17</f>
        <v>16250</v>
      </c>
      <c r="O222" s="47">
        <f>$Y$17</f>
        <v>16250</v>
      </c>
      <c r="P222" s="47">
        <f>$Y$17</f>
        <v>16250</v>
      </c>
      <c r="Q222" s="28">
        <f>SUM(E222:L222,M222,N222,O222,P222)</f>
        <v>65000</v>
      </c>
      <c r="R222" s="42">
        <v>50000</v>
      </c>
      <c r="S222" s="41"/>
    </row>
    <row r="223" spans="1:19" x14ac:dyDescent="0.25">
      <c r="A223" s="8">
        <v>60</v>
      </c>
      <c r="B223" s="24" t="s">
        <v>141</v>
      </c>
      <c r="C223" s="8">
        <v>10</v>
      </c>
      <c r="D223" s="5"/>
      <c r="E223" s="27">
        <v>0</v>
      </c>
      <c r="F223" s="27">
        <v>0</v>
      </c>
      <c r="G223" s="27"/>
      <c r="H223" s="27"/>
      <c r="I223" s="27"/>
      <c r="J223" s="27"/>
      <c r="K223" s="27"/>
      <c r="L223" s="27"/>
      <c r="M223" s="47">
        <f>$Y$17</f>
        <v>16250</v>
      </c>
      <c r="N223" s="47">
        <f>$Y$17</f>
        <v>16250</v>
      </c>
      <c r="O223" s="47">
        <f>$Y$17</f>
        <v>16250</v>
      </c>
      <c r="P223" s="47">
        <f>$Y$17</f>
        <v>16250</v>
      </c>
      <c r="Q223" s="28">
        <f>SUM(E223:L223,M223,N223,O223,P223)</f>
        <v>65000</v>
      </c>
      <c r="R223" s="42">
        <v>50000</v>
      </c>
      <c r="S223" s="41"/>
    </row>
    <row r="224" spans="1:19" x14ac:dyDescent="0.25">
      <c r="A224" s="8">
        <v>61</v>
      </c>
      <c r="B224" s="8" t="s">
        <v>138</v>
      </c>
      <c r="C224" s="8">
        <v>10</v>
      </c>
      <c r="D224" s="5"/>
      <c r="E224" s="27">
        <v>0</v>
      </c>
      <c r="F224" s="27">
        <v>0</v>
      </c>
      <c r="G224" s="27">
        <f>$AC$4</f>
        <v>17500</v>
      </c>
      <c r="H224" s="27">
        <f>$AC$4</f>
        <v>17500</v>
      </c>
      <c r="I224" s="27">
        <f>$AC$4</f>
        <v>17500</v>
      </c>
      <c r="J224" s="27">
        <f>$AC$4</f>
        <v>17500</v>
      </c>
      <c r="K224" s="27">
        <f>$AC$4</f>
        <v>17500</v>
      </c>
      <c r="L224" s="27">
        <f>$AC$4</f>
        <v>17500</v>
      </c>
      <c r="M224" s="47">
        <f>$AC$4</f>
        <v>17500</v>
      </c>
      <c r="N224" s="47">
        <f>$AC$4</f>
        <v>17500</v>
      </c>
      <c r="O224" s="47">
        <f>$AC$4</f>
        <v>17500</v>
      </c>
      <c r="P224" s="47">
        <f>$AC$4</f>
        <v>17500</v>
      </c>
      <c r="Q224" s="28">
        <f>SUM(E224:L224,M224,N224,O224,P224)</f>
        <v>175000</v>
      </c>
      <c r="R224" s="42">
        <v>50000</v>
      </c>
      <c r="S224" s="41"/>
    </row>
    <row r="225" spans="1:19" x14ac:dyDescent="0.25">
      <c r="A225" s="8">
        <v>62</v>
      </c>
      <c r="B225" s="8" t="s">
        <v>138</v>
      </c>
      <c r="C225" s="8">
        <v>10</v>
      </c>
      <c r="D225" s="5"/>
      <c r="E225" s="27">
        <v>0</v>
      </c>
      <c r="F225" s="27">
        <v>0</v>
      </c>
      <c r="G225" s="27">
        <f>$AC$4</f>
        <v>17500</v>
      </c>
      <c r="H225" s="27">
        <f>$AC$4</f>
        <v>17500</v>
      </c>
      <c r="I225" s="27">
        <f>$AC$4</f>
        <v>17500</v>
      </c>
      <c r="J225" s="27">
        <f>$AC$4</f>
        <v>17500</v>
      </c>
      <c r="K225" s="27">
        <f>$AC$4</f>
        <v>17500</v>
      </c>
      <c r="L225" s="27">
        <f>$AC$4</f>
        <v>17500</v>
      </c>
      <c r="M225" s="47">
        <f>$AC$4</f>
        <v>17500</v>
      </c>
      <c r="N225" s="47">
        <f>$AC$4</f>
        <v>17500</v>
      </c>
      <c r="O225" s="47">
        <f>$AC$4</f>
        <v>17500</v>
      </c>
      <c r="P225" s="47">
        <f>$AC$4</f>
        <v>17500</v>
      </c>
      <c r="Q225" s="28">
        <f>SUM(E225:L225,M225,N225,O225,P225)</f>
        <v>175000</v>
      </c>
      <c r="R225" s="42">
        <v>50000</v>
      </c>
      <c r="S225" s="41"/>
    </row>
    <row r="226" spans="1:19" x14ac:dyDescent="0.25">
      <c r="A226" s="8">
        <v>63</v>
      </c>
      <c r="B226" s="8" t="s">
        <v>138</v>
      </c>
      <c r="C226" s="8">
        <v>10</v>
      </c>
      <c r="D226" s="5"/>
      <c r="E226" s="27">
        <v>0</v>
      </c>
      <c r="F226" s="27">
        <v>0</v>
      </c>
      <c r="G226" s="27"/>
      <c r="H226" s="27"/>
      <c r="I226" s="27"/>
      <c r="J226" s="27"/>
      <c r="K226" s="27"/>
      <c r="L226" s="27"/>
      <c r="M226" s="47">
        <f>$AC$4</f>
        <v>17500</v>
      </c>
      <c r="N226" s="47">
        <f>$AC$4</f>
        <v>17500</v>
      </c>
      <c r="O226" s="47">
        <f>$AC$4</f>
        <v>17500</v>
      </c>
      <c r="P226" s="47">
        <f>$AC$4</f>
        <v>17500</v>
      </c>
      <c r="Q226" s="28">
        <f>SUM(E226:L226,M226,N226,O226,P226)</f>
        <v>70000</v>
      </c>
      <c r="R226" s="42">
        <v>50000</v>
      </c>
      <c r="S226" s="41"/>
    </row>
    <row r="227" spans="1:19" x14ac:dyDescent="0.25">
      <c r="A227" s="8">
        <v>64</v>
      </c>
      <c r="B227" s="16" t="s">
        <v>145</v>
      </c>
      <c r="C227" s="8">
        <v>10</v>
      </c>
      <c r="D227" s="5"/>
      <c r="E227" s="27">
        <v>0</v>
      </c>
      <c r="F227" s="27">
        <v>0</v>
      </c>
      <c r="G227" s="27">
        <f>$Y$6+$W$6*$AA$6+$AC$6</f>
        <v>31750</v>
      </c>
      <c r="H227" s="27">
        <f>$Y$6+$W$6*$AA$6+$AC$6</f>
        <v>31750</v>
      </c>
      <c r="I227" s="27">
        <f>$Y$6+$W$6*$AA$6+$AC$6</f>
        <v>31750</v>
      </c>
      <c r="J227" s="27">
        <f>$Y$6+$W$6*$AA$6+$AC$6</f>
        <v>31750</v>
      </c>
      <c r="K227" s="27">
        <f>$Y$6+$W$6*$AA$6+$AC$6</f>
        <v>31750</v>
      </c>
      <c r="L227" s="27">
        <f>$Y$6+$W$6*$AA$6+$AC$6</f>
        <v>31750</v>
      </c>
      <c r="M227" s="47">
        <f>$Y$6+$W$6*$AA$6+$AC$6</f>
        <v>31750</v>
      </c>
      <c r="N227" s="47">
        <f>$Y$6+$W$6*$AA$6+$AC$6</f>
        <v>31750</v>
      </c>
      <c r="O227" s="47">
        <f>$Y$6+$W$6*$AA$6+$AC$6</f>
        <v>31750</v>
      </c>
      <c r="P227" s="47">
        <f>$Y$6+$W$6*$AA$6+$AC$6</f>
        <v>31750</v>
      </c>
      <c r="Q227" s="28">
        <f>SUM(E227:L227,M227,N227,O227,P227)</f>
        <v>317500</v>
      </c>
      <c r="R227" s="42">
        <v>50000</v>
      </c>
      <c r="S227" s="41"/>
    </row>
    <row r="228" spans="1:19" ht="30" x14ac:dyDescent="0.25">
      <c r="A228" s="8">
        <v>65</v>
      </c>
      <c r="B228" s="9" t="s">
        <v>148</v>
      </c>
      <c r="C228" s="8">
        <v>8</v>
      </c>
      <c r="D228" s="5" t="s">
        <v>159</v>
      </c>
      <c r="E228" s="27">
        <v>0</v>
      </c>
      <c r="F228" s="27">
        <v>14000</v>
      </c>
      <c r="G228" s="33">
        <v>0</v>
      </c>
      <c r="H228" s="33">
        <v>0</v>
      </c>
      <c r="I228" s="33">
        <v>0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28">
        <f>SUM(E228:L228,M228,N228,O228,P228)</f>
        <v>14000</v>
      </c>
      <c r="R228" s="42">
        <v>50000</v>
      </c>
      <c r="S228" s="41"/>
    </row>
    <row r="229" spans="1:19" x14ac:dyDescent="0.25">
      <c r="A229" s="8">
        <v>66</v>
      </c>
      <c r="B229" s="9" t="s">
        <v>147</v>
      </c>
      <c r="C229" s="9">
        <v>8</v>
      </c>
      <c r="D229" s="5"/>
      <c r="E229" s="27">
        <v>0</v>
      </c>
      <c r="F229" s="27">
        <v>0</v>
      </c>
      <c r="G229" s="27">
        <v>0</v>
      </c>
      <c r="H229" s="27">
        <v>0</v>
      </c>
      <c r="I229" s="27">
        <v>0</v>
      </c>
      <c r="J229" s="27">
        <v>0</v>
      </c>
      <c r="K229" s="27">
        <v>0</v>
      </c>
      <c r="L229" s="27">
        <v>0</v>
      </c>
      <c r="M229" s="47">
        <v>0</v>
      </c>
      <c r="N229" s="47">
        <v>0</v>
      </c>
      <c r="O229" s="47">
        <v>0</v>
      </c>
      <c r="P229" s="47">
        <v>0</v>
      </c>
      <c r="Q229" s="28">
        <f>SUM(E229:L229,M229,N229,O229,P229)</f>
        <v>0</v>
      </c>
      <c r="R229" s="42">
        <v>50000</v>
      </c>
      <c r="S229" s="41"/>
    </row>
    <row r="230" spans="1:19" x14ac:dyDescent="0.25">
      <c r="A230" s="8">
        <v>67</v>
      </c>
      <c r="B230" s="9" t="s">
        <v>168</v>
      </c>
      <c r="C230" s="9">
        <v>8</v>
      </c>
      <c r="D230" s="5"/>
      <c r="E230" s="27">
        <v>0</v>
      </c>
      <c r="F230" s="27">
        <v>0</v>
      </c>
      <c r="G230" s="27"/>
      <c r="H230" s="27"/>
      <c r="I230" s="27"/>
      <c r="J230" s="27"/>
      <c r="K230" s="27"/>
      <c r="L230" s="27"/>
      <c r="M230" s="47"/>
      <c r="N230" s="47"/>
      <c r="O230" s="47"/>
      <c r="P230" s="47"/>
      <c r="Q230" s="28">
        <f>SUM(E230:L230,M230,N230,O230,P230)</f>
        <v>0</v>
      </c>
      <c r="R230" s="42">
        <v>50000</v>
      </c>
      <c r="S230" s="41"/>
    </row>
    <row r="231" spans="1:19" x14ac:dyDescent="0.25">
      <c r="A231" s="8">
        <v>68</v>
      </c>
      <c r="B231" s="9" t="s">
        <v>168</v>
      </c>
      <c r="C231" s="9">
        <v>8</v>
      </c>
      <c r="D231" s="5"/>
      <c r="E231" s="27">
        <v>0</v>
      </c>
      <c r="F231" s="27">
        <v>0</v>
      </c>
      <c r="G231" s="27"/>
      <c r="H231" s="27"/>
      <c r="I231" s="27"/>
      <c r="J231" s="27"/>
      <c r="K231" s="27"/>
      <c r="L231" s="27"/>
      <c r="M231" s="47"/>
      <c r="N231" s="47"/>
      <c r="O231" s="47"/>
      <c r="P231" s="47"/>
      <c r="Q231" s="28">
        <f>SUM(E231:L231,M231,N231,O231,P231)</f>
        <v>0</v>
      </c>
      <c r="R231" s="42">
        <v>50000</v>
      </c>
      <c r="S231" s="41"/>
    </row>
    <row r="232" spans="1:19" x14ac:dyDescent="0.25">
      <c r="A232" s="8">
        <v>69</v>
      </c>
      <c r="B232" s="9" t="s">
        <v>168</v>
      </c>
      <c r="C232" s="9">
        <v>8</v>
      </c>
      <c r="D232" s="5"/>
      <c r="E232" s="27">
        <v>0</v>
      </c>
      <c r="F232" s="27">
        <v>0</v>
      </c>
      <c r="G232" s="27"/>
      <c r="H232" s="27"/>
      <c r="I232" s="27"/>
      <c r="J232" s="27"/>
      <c r="K232" s="27"/>
      <c r="L232" s="27"/>
      <c r="M232" s="47"/>
      <c r="N232" s="47"/>
      <c r="O232" s="47"/>
      <c r="P232" s="47"/>
      <c r="Q232" s="28">
        <f>SUM(E232:L232,M232,N232,O232,P232)</f>
        <v>0</v>
      </c>
      <c r="R232" s="42">
        <v>50000</v>
      </c>
      <c r="S232" s="41"/>
    </row>
    <row r="233" spans="1:19" x14ac:dyDescent="0.25">
      <c r="A233" s="8">
        <v>70</v>
      </c>
      <c r="B233" s="9" t="s">
        <v>170</v>
      </c>
      <c r="C233" s="9">
        <v>8</v>
      </c>
      <c r="D233" s="5"/>
      <c r="E233" s="27">
        <v>0</v>
      </c>
      <c r="F233" s="27">
        <v>0</v>
      </c>
      <c r="G233" s="27"/>
      <c r="H233" s="27"/>
      <c r="I233" s="27"/>
      <c r="J233" s="27"/>
      <c r="K233" s="27"/>
      <c r="L233" s="27"/>
      <c r="M233" s="47"/>
      <c r="N233" s="47"/>
      <c r="O233" s="47"/>
      <c r="P233" s="47"/>
      <c r="Q233" s="28">
        <f>SUM(E233:L233,M233,N233,O233,P233)</f>
        <v>0</v>
      </c>
      <c r="R233" s="42">
        <v>50000</v>
      </c>
      <c r="S233" s="41"/>
    </row>
    <row r="234" spans="1:19" ht="15" customHeight="1" x14ac:dyDescent="0.25">
      <c r="A234" s="8">
        <v>71</v>
      </c>
      <c r="B234" s="16" t="s">
        <v>146</v>
      </c>
      <c r="C234" s="8">
        <v>10</v>
      </c>
      <c r="D234" s="5" t="s">
        <v>157</v>
      </c>
      <c r="E234" s="27">
        <v>25750</v>
      </c>
      <c r="F234" s="27">
        <v>107900</v>
      </c>
      <c r="G234" s="27"/>
      <c r="H234" s="27"/>
      <c r="I234" s="27"/>
      <c r="J234" s="27"/>
      <c r="K234" s="27"/>
      <c r="L234" s="27"/>
      <c r="M234" s="47"/>
      <c r="N234" s="47"/>
      <c r="O234" s="47"/>
      <c r="P234" s="47"/>
      <c r="Q234" s="28">
        <f>SUM(E234:L234,M234,N234,O234,P234)</f>
        <v>133650</v>
      </c>
      <c r="R234" s="42">
        <v>50000</v>
      </c>
      <c r="S234" s="41"/>
    </row>
    <row r="235" spans="1:19" ht="15" customHeight="1" x14ac:dyDescent="0.25">
      <c r="A235" s="8">
        <v>72</v>
      </c>
      <c r="B235" s="16" t="s">
        <v>146</v>
      </c>
      <c r="C235" s="9">
        <v>10</v>
      </c>
      <c r="D235" s="5" t="s">
        <v>158</v>
      </c>
      <c r="E235" s="27">
        <v>25750</v>
      </c>
      <c r="F235" s="27">
        <v>115400</v>
      </c>
      <c r="G235" s="27"/>
      <c r="H235" s="27"/>
      <c r="I235" s="27"/>
      <c r="J235" s="27"/>
      <c r="K235" s="27"/>
      <c r="L235" s="27"/>
      <c r="M235" s="47"/>
      <c r="N235" s="47"/>
      <c r="O235" s="47"/>
      <c r="P235" s="47"/>
      <c r="Q235" s="28">
        <f>SUM(E235:L235,M235,N235,O235,P235)</f>
        <v>141150</v>
      </c>
      <c r="R235" s="42">
        <v>50000</v>
      </c>
      <c r="S235" s="41"/>
    </row>
    <row r="236" spans="1:19" x14ac:dyDescent="0.25">
      <c r="D236" s="6" t="s">
        <v>15</v>
      </c>
      <c r="E236" s="43">
        <f>SUM(E164:E235)</f>
        <v>1306750</v>
      </c>
      <c r="F236" s="43">
        <f t="shared" ref="F236:P236" si="17">SUM(F164:F235)</f>
        <v>4757550</v>
      </c>
      <c r="G236" s="43">
        <f t="shared" si="17"/>
        <v>2002519.25</v>
      </c>
      <c r="H236" s="43">
        <f t="shared" si="17"/>
        <v>2002519.25</v>
      </c>
      <c r="I236" s="43">
        <f t="shared" si="17"/>
        <v>2017519.25</v>
      </c>
      <c r="J236" s="43">
        <f t="shared" si="17"/>
        <v>2032519.25</v>
      </c>
      <c r="K236" s="43">
        <f t="shared" si="17"/>
        <v>2032519.25</v>
      </c>
      <c r="L236" s="43">
        <f t="shared" si="17"/>
        <v>2032519.25</v>
      </c>
      <c r="M236" s="49">
        <f t="shared" si="17"/>
        <v>2162269.25</v>
      </c>
      <c r="N236" s="49">
        <f t="shared" si="17"/>
        <v>2162269.25</v>
      </c>
      <c r="O236" s="49">
        <f t="shared" si="17"/>
        <v>2162269.25</v>
      </c>
      <c r="P236" s="49">
        <f t="shared" si="17"/>
        <v>2162269.25</v>
      </c>
      <c r="Q236" s="43">
        <f>SUM(Q164:Q235)</f>
        <v>26833492.5</v>
      </c>
      <c r="R236" s="37">
        <f>SUM(R164:R235)</f>
        <v>3750000</v>
      </c>
    </row>
  </sheetData>
  <autoFilter ref="A4:AE78" xr:uid="{00000000-0001-0000-0000-000000000000}"/>
  <mergeCells count="16">
    <mergeCell ref="B162:B163"/>
    <mergeCell ref="C162:C163"/>
    <mergeCell ref="D162:D163"/>
    <mergeCell ref="E162:O162"/>
    <mergeCell ref="Q162:Q163"/>
    <mergeCell ref="R3:R4"/>
    <mergeCell ref="B83:B84"/>
    <mergeCell ref="C83:C84"/>
    <mergeCell ref="D83:D84"/>
    <mergeCell ref="E83:O83"/>
    <mergeCell ref="Q83:Q84"/>
    <mergeCell ref="B3:B4"/>
    <mergeCell ref="C3:C4"/>
    <mergeCell ref="D3:D4"/>
    <mergeCell ref="E3:O3"/>
    <mergeCell ref="Q3:Q4"/>
  </mergeCells>
  <pageMargins left="0.7" right="0.7" top="0.75" bottom="0.75" header="0.3" footer="0.3"/>
  <pageSetup paperSize="9" scale="61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K236"/>
  <sheetViews>
    <sheetView topLeftCell="A31" zoomScale="70" zoomScaleNormal="70" workbookViewId="0">
      <selection activeCell="X78" activeCellId="1" sqref="T78 X78"/>
    </sheetView>
  </sheetViews>
  <sheetFormatPr defaultRowHeight="15" x14ac:dyDescent="0.25"/>
  <cols>
    <col min="1" max="1" width="5.7109375" customWidth="1"/>
    <col min="2" max="2" width="34.7109375" bestFit="1" customWidth="1"/>
    <col min="3" max="3" width="14.42578125" customWidth="1"/>
    <col min="4" max="4" width="18.28515625" bestFit="1" customWidth="1"/>
    <col min="5" max="6" width="12.5703125" bestFit="1" customWidth="1"/>
    <col min="7" max="7" width="16.140625" bestFit="1" customWidth="1"/>
    <col min="8" max="13" width="12.5703125" bestFit="1" customWidth="1"/>
    <col min="14" max="14" width="15" bestFit="1" customWidth="1"/>
    <col min="15" max="15" width="12.5703125" bestFit="1" customWidth="1"/>
    <col min="16" max="16" width="14.140625" bestFit="1" customWidth="1"/>
    <col min="17" max="17" width="12.5703125" bestFit="1" customWidth="1"/>
    <col min="18" max="18" width="15.42578125" bestFit="1" customWidth="1"/>
    <col min="19" max="19" width="13.7109375" bestFit="1" customWidth="1"/>
    <col min="20" max="20" width="16.85546875" customWidth="1"/>
    <col min="21" max="21" width="14.42578125" bestFit="1" customWidth="1"/>
    <col min="22" max="22" width="17.28515625" bestFit="1" customWidth="1"/>
    <col min="23" max="23" width="13.85546875" bestFit="1" customWidth="1"/>
    <col min="24" max="24" width="10.5703125" bestFit="1" customWidth="1"/>
    <col min="25" max="25" width="12.5703125" bestFit="1" customWidth="1"/>
    <col min="26" max="26" width="30.140625" bestFit="1" customWidth="1"/>
    <col min="27" max="27" width="34.7109375" bestFit="1" customWidth="1"/>
    <col min="28" max="28" width="11.7109375" bestFit="1" customWidth="1"/>
    <col min="29" max="29" width="17.28515625" bestFit="1" customWidth="1"/>
    <col min="30" max="32" width="20.7109375" bestFit="1" customWidth="1"/>
    <col min="33" max="33" width="10.7109375" bestFit="1" customWidth="1"/>
    <col min="34" max="34" width="16.5703125" bestFit="1" customWidth="1"/>
    <col min="35" max="37" width="17.7109375" bestFit="1" customWidth="1"/>
  </cols>
  <sheetData>
    <row r="2" spans="1:37" x14ac:dyDescent="0.25">
      <c r="E2" s="1"/>
      <c r="F2" s="1"/>
      <c r="G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37" x14ac:dyDescent="0.25">
      <c r="B3" s="65" t="s">
        <v>16</v>
      </c>
      <c r="C3" s="65" t="s">
        <v>153</v>
      </c>
      <c r="D3" s="67" t="s">
        <v>1</v>
      </c>
      <c r="E3" s="68" t="s">
        <v>2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70"/>
      <c r="T3" s="36"/>
      <c r="U3" s="67" t="s">
        <v>70</v>
      </c>
      <c r="V3" s="71" t="s">
        <v>187</v>
      </c>
      <c r="W3" s="63" t="s">
        <v>196</v>
      </c>
      <c r="X3" s="63" t="s">
        <v>197</v>
      </c>
      <c r="AA3" s="29" t="s">
        <v>16</v>
      </c>
      <c r="AB3" s="29" t="s">
        <v>160</v>
      </c>
      <c r="AC3" s="29" t="s">
        <v>161</v>
      </c>
      <c r="AD3" s="29" t="s">
        <v>162</v>
      </c>
      <c r="AE3" s="29" t="s">
        <v>163</v>
      </c>
      <c r="AF3" s="29" t="s">
        <v>164</v>
      </c>
      <c r="AG3" s="29" t="s">
        <v>150</v>
      </c>
      <c r="AH3" s="29" t="s">
        <v>165</v>
      </c>
      <c r="AI3" s="29" t="s">
        <v>166</v>
      </c>
      <c r="AJ3" s="29" t="s">
        <v>167</v>
      </c>
      <c r="AK3" s="29" t="s">
        <v>177</v>
      </c>
    </row>
    <row r="4" spans="1:37" x14ac:dyDescent="0.25">
      <c r="B4" s="66"/>
      <c r="C4" s="66"/>
      <c r="D4" s="67"/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183</v>
      </c>
      <c r="O4" s="3" t="s">
        <v>13</v>
      </c>
      <c r="P4" s="3" t="s">
        <v>184</v>
      </c>
      <c r="Q4" s="3" t="s">
        <v>14</v>
      </c>
      <c r="R4" s="3" t="s">
        <v>185</v>
      </c>
      <c r="S4" s="3" t="s">
        <v>144</v>
      </c>
      <c r="T4" s="3" t="s">
        <v>195</v>
      </c>
      <c r="U4" s="67"/>
      <c r="V4" s="72"/>
      <c r="W4" s="64"/>
      <c r="X4" s="64"/>
      <c r="AA4" s="8" t="s">
        <v>138</v>
      </c>
      <c r="AB4" s="37">
        <v>70000</v>
      </c>
      <c r="AC4" s="37">
        <v>87500</v>
      </c>
      <c r="AD4" s="37">
        <v>104500</v>
      </c>
      <c r="AE4" s="37">
        <f>AC4-AB4</f>
        <v>17500</v>
      </c>
      <c r="AF4" s="37">
        <f>AD4-AB4</f>
        <v>34500</v>
      </c>
      <c r="AG4" s="38"/>
      <c r="AH4" s="37"/>
      <c r="AI4" s="37">
        <f>AC4-AB4</f>
        <v>17500</v>
      </c>
      <c r="AJ4" s="37">
        <f>AD4-AB4</f>
        <v>34500</v>
      </c>
      <c r="AK4" s="8"/>
    </row>
    <row r="5" spans="1:37" x14ac:dyDescent="0.25">
      <c r="A5" s="8">
        <v>1</v>
      </c>
      <c r="B5" s="16" t="s">
        <v>146</v>
      </c>
      <c r="C5" s="8">
        <v>12</v>
      </c>
      <c r="D5" s="9" t="s">
        <v>41</v>
      </c>
      <c r="E5" s="27">
        <f>E85+E164</f>
        <v>113000</v>
      </c>
      <c r="F5" s="27">
        <f t="shared" ref="F5:S5" si="0">F85+F164</f>
        <v>185000</v>
      </c>
      <c r="G5" s="27">
        <f t="shared" si="0"/>
        <v>120000</v>
      </c>
      <c r="H5" s="27">
        <f t="shared" si="0"/>
        <v>120000</v>
      </c>
      <c r="I5" s="27">
        <f t="shared" si="0"/>
        <v>120000</v>
      </c>
      <c r="J5" s="27">
        <f t="shared" si="0"/>
        <v>120000</v>
      </c>
      <c r="K5" s="27">
        <f t="shared" si="0"/>
        <v>120000</v>
      </c>
      <c r="L5" s="27">
        <f t="shared" si="0"/>
        <v>120000</v>
      </c>
      <c r="M5" s="39">
        <f t="shared" si="0"/>
        <v>110000</v>
      </c>
      <c r="N5" s="47">
        <f t="shared" ref="N5" si="1">N85+N164</f>
        <v>120000</v>
      </c>
      <c r="O5" s="39">
        <f t="shared" si="0"/>
        <v>110000</v>
      </c>
      <c r="P5" s="47">
        <f t="shared" ref="P5" si="2">P85+P164</f>
        <v>120000</v>
      </c>
      <c r="Q5" s="39">
        <f t="shared" si="0"/>
        <v>110000</v>
      </c>
      <c r="R5" s="47">
        <f t="shared" ref="R5" si="3">R85+R164</f>
        <v>120000</v>
      </c>
      <c r="S5" s="39">
        <f t="shared" si="0"/>
        <v>116000</v>
      </c>
      <c r="T5" s="47">
        <f t="shared" ref="T5" si="4">T85+T164</f>
        <v>126825</v>
      </c>
      <c r="U5" s="28">
        <f>SUM(E5:M5,O5,Q5,S5)</f>
        <v>1464000</v>
      </c>
      <c r="V5" s="28">
        <f>SUM(E5:L5,N5,P5,R5,T5)</f>
        <v>1504825</v>
      </c>
      <c r="W5" s="42">
        <v>50000</v>
      </c>
      <c r="X5" s="42">
        <v>50000</v>
      </c>
      <c r="AA5" s="8" t="s">
        <v>146</v>
      </c>
      <c r="AB5" s="37">
        <v>68250</v>
      </c>
      <c r="AC5" s="37">
        <v>85300</v>
      </c>
      <c r="AD5" s="37">
        <v>102375</v>
      </c>
      <c r="AE5" s="37">
        <f t="shared" ref="AE5:AE19" si="5">AC5-AB5</f>
        <v>17050</v>
      </c>
      <c r="AF5" s="37">
        <f t="shared" ref="AF5:AF19" si="6">AD5-AB5</f>
        <v>34125</v>
      </c>
      <c r="AG5" s="38">
        <v>0.1</v>
      </c>
      <c r="AH5" s="37">
        <f>80000-AB5-AB5*AG5</f>
        <v>4925</v>
      </c>
      <c r="AI5" s="37">
        <f>100000-AC5-AC5*AG5</f>
        <v>6170</v>
      </c>
      <c r="AJ5" s="37">
        <f>120000-AD5-AD5*AG5</f>
        <v>7387.5</v>
      </c>
      <c r="AK5" s="8"/>
    </row>
    <row r="6" spans="1:37" x14ac:dyDescent="0.25">
      <c r="A6" s="8">
        <v>2</v>
      </c>
      <c r="B6" s="14" t="s">
        <v>65</v>
      </c>
      <c r="C6" s="8">
        <v>12</v>
      </c>
      <c r="D6" s="9" t="s">
        <v>17</v>
      </c>
      <c r="E6" s="27">
        <f t="shared" ref="E6:S6" si="7">E86+E165</f>
        <v>120000</v>
      </c>
      <c r="F6" s="27">
        <f t="shared" si="7"/>
        <v>192000</v>
      </c>
      <c r="G6" s="27">
        <f t="shared" si="7"/>
        <v>127000</v>
      </c>
      <c r="H6" s="27">
        <f t="shared" si="7"/>
        <v>127000</v>
      </c>
      <c r="I6" s="27">
        <f t="shared" si="7"/>
        <v>127000</v>
      </c>
      <c r="J6" s="27">
        <f t="shared" si="7"/>
        <v>127000</v>
      </c>
      <c r="K6" s="27">
        <f t="shared" si="7"/>
        <v>127000</v>
      </c>
      <c r="L6" s="27">
        <f t="shared" si="7"/>
        <v>127000</v>
      </c>
      <c r="M6" s="39">
        <f t="shared" si="7"/>
        <v>132000</v>
      </c>
      <c r="N6" s="47">
        <f t="shared" ref="N6" si="8">N86+N165</f>
        <v>127000</v>
      </c>
      <c r="O6" s="39">
        <f t="shared" si="7"/>
        <v>132000</v>
      </c>
      <c r="P6" s="47">
        <f t="shared" ref="P6" si="9">P86+P165</f>
        <v>127000</v>
      </c>
      <c r="Q6" s="39">
        <f t="shared" si="7"/>
        <v>132000</v>
      </c>
      <c r="R6" s="47">
        <f t="shared" ref="R6" si="10">R86+R165</f>
        <v>127000</v>
      </c>
      <c r="S6" s="39">
        <f t="shared" si="7"/>
        <v>145200</v>
      </c>
      <c r="T6" s="47">
        <f t="shared" ref="T6" si="11">T86+T165</f>
        <v>133825</v>
      </c>
      <c r="U6" s="28">
        <f t="shared" ref="U6:U69" si="12">SUM(E6:M6,O6,Q6,S6)</f>
        <v>1615200</v>
      </c>
      <c r="V6" s="28">
        <f t="shared" ref="V6:V69" si="13">SUM(E6:L6,N6,P6,R6,T6)</f>
        <v>1588825</v>
      </c>
      <c r="W6" s="42">
        <v>50000</v>
      </c>
      <c r="X6" s="42">
        <v>50000</v>
      </c>
      <c r="AA6" s="8" t="s">
        <v>145</v>
      </c>
      <c r="AB6" s="37">
        <v>68250</v>
      </c>
      <c r="AC6" s="37">
        <v>85300</v>
      </c>
      <c r="AD6" s="37">
        <v>102375</v>
      </c>
      <c r="AE6" s="37">
        <f t="shared" si="5"/>
        <v>17050</v>
      </c>
      <c r="AF6" s="37">
        <f>AD6-AB6</f>
        <v>34125</v>
      </c>
      <c r="AG6" s="38">
        <v>0.1</v>
      </c>
      <c r="AH6" s="37">
        <f t="shared" ref="AH6:AH16" si="14">80000-AB6-AB6*AG6</f>
        <v>4925</v>
      </c>
      <c r="AI6" s="37">
        <f t="shared" ref="AI6:AI16" si="15">100000-AC6-AC6*AG6</f>
        <v>6170</v>
      </c>
      <c r="AJ6" s="37">
        <f t="shared" ref="AJ6:AJ16" si="16">120000-AD6-AD6*AG6</f>
        <v>7387.5</v>
      </c>
      <c r="AK6" s="8"/>
    </row>
    <row r="7" spans="1:37" x14ac:dyDescent="0.25">
      <c r="A7" s="8">
        <v>3</v>
      </c>
      <c r="B7" s="16" t="s">
        <v>146</v>
      </c>
      <c r="C7" s="8">
        <v>10</v>
      </c>
      <c r="D7" s="9" t="s">
        <v>18</v>
      </c>
      <c r="E7" s="27">
        <f t="shared" ref="E7:S7" si="17">E87+E166</f>
        <v>94000</v>
      </c>
      <c r="F7" s="27">
        <f t="shared" si="17"/>
        <v>167000</v>
      </c>
      <c r="G7" s="27">
        <f t="shared" si="17"/>
        <v>100000</v>
      </c>
      <c r="H7" s="27">
        <f t="shared" si="17"/>
        <v>100000</v>
      </c>
      <c r="I7" s="27">
        <f t="shared" si="17"/>
        <v>100000</v>
      </c>
      <c r="J7" s="27">
        <f t="shared" si="17"/>
        <v>100000</v>
      </c>
      <c r="K7" s="27">
        <f t="shared" si="17"/>
        <v>100000</v>
      </c>
      <c r="L7" s="27">
        <f t="shared" si="17"/>
        <v>100000</v>
      </c>
      <c r="M7" s="39">
        <f t="shared" si="17"/>
        <v>110000</v>
      </c>
      <c r="N7" s="47">
        <f t="shared" ref="N7" si="18">N87+N166</f>
        <v>100000</v>
      </c>
      <c r="O7" s="39">
        <f t="shared" si="17"/>
        <v>110000</v>
      </c>
      <c r="P7" s="47">
        <f t="shared" ref="P7" si="19">P87+P166</f>
        <v>100000</v>
      </c>
      <c r="Q7" s="39">
        <f t="shared" si="17"/>
        <v>110000</v>
      </c>
      <c r="R7" s="47">
        <f t="shared" ref="R7" si="20">R87+R166</f>
        <v>100000</v>
      </c>
      <c r="S7" s="39">
        <f t="shared" si="17"/>
        <v>116000</v>
      </c>
      <c r="T7" s="47">
        <f t="shared" ref="T7" si="21">T87+T166</f>
        <v>106825</v>
      </c>
      <c r="U7" s="28">
        <f t="shared" si="12"/>
        <v>1307000</v>
      </c>
      <c r="V7" s="28">
        <f t="shared" si="13"/>
        <v>1267825</v>
      </c>
      <c r="W7" s="42">
        <v>50000</v>
      </c>
      <c r="X7" s="42">
        <v>50000</v>
      </c>
      <c r="AA7" s="8" t="s">
        <v>65</v>
      </c>
      <c r="AB7" s="37">
        <v>68250</v>
      </c>
      <c r="AC7" s="37">
        <v>85300</v>
      </c>
      <c r="AD7" s="37">
        <v>102375</v>
      </c>
      <c r="AE7" s="37">
        <f t="shared" si="5"/>
        <v>17050</v>
      </c>
      <c r="AF7" s="37">
        <f t="shared" si="6"/>
        <v>34125</v>
      </c>
      <c r="AG7" s="38">
        <v>0.1</v>
      </c>
      <c r="AH7" s="37">
        <f t="shared" si="14"/>
        <v>4925</v>
      </c>
      <c r="AI7" s="37">
        <f t="shared" si="15"/>
        <v>6170</v>
      </c>
      <c r="AJ7" s="37">
        <f t="shared" si="16"/>
        <v>7387.5</v>
      </c>
      <c r="AK7" s="8">
        <v>7000</v>
      </c>
    </row>
    <row r="8" spans="1:37" x14ac:dyDescent="0.25">
      <c r="A8" s="8">
        <v>4</v>
      </c>
      <c r="B8" s="16" t="s">
        <v>146</v>
      </c>
      <c r="C8" s="8">
        <v>12</v>
      </c>
      <c r="D8" s="9" t="s">
        <v>42</v>
      </c>
      <c r="E8" s="27">
        <f t="shared" ref="E8:S8" si="22">E88+E167</f>
        <v>110000</v>
      </c>
      <c r="F8" s="27">
        <f t="shared" si="22"/>
        <v>176000</v>
      </c>
      <c r="G8" s="27">
        <f t="shared" si="22"/>
        <v>120000</v>
      </c>
      <c r="H8" s="27">
        <f t="shared" si="22"/>
        <v>120000</v>
      </c>
      <c r="I8" s="27">
        <f t="shared" si="22"/>
        <v>120000</v>
      </c>
      <c r="J8" s="27">
        <f t="shared" si="22"/>
        <v>120000</v>
      </c>
      <c r="K8" s="27">
        <f t="shared" si="22"/>
        <v>120000</v>
      </c>
      <c r="L8" s="27">
        <f t="shared" si="22"/>
        <v>120000</v>
      </c>
      <c r="M8" s="39">
        <f t="shared" si="22"/>
        <v>110000</v>
      </c>
      <c r="N8" s="47">
        <f t="shared" ref="N8" si="23">N88+N167</f>
        <v>120000</v>
      </c>
      <c r="O8" s="39">
        <f t="shared" si="22"/>
        <v>110000</v>
      </c>
      <c r="P8" s="47">
        <f t="shared" ref="P8" si="24">P88+P167</f>
        <v>120000</v>
      </c>
      <c r="Q8" s="39">
        <f t="shared" si="22"/>
        <v>110000</v>
      </c>
      <c r="R8" s="47">
        <f t="shared" ref="R8" si="25">R88+R167</f>
        <v>120000</v>
      </c>
      <c r="S8" s="39">
        <f t="shared" si="22"/>
        <v>116000</v>
      </c>
      <c r="T8" s="47">
        <f t="shared" ref="T8" si="26">T88+T167</f>
        <v>126825</v>
      </c>
      <c r="U8" s="28">
        <f t="shared" si="12"/>
        <v>1452000</v>
      </c>
      <c r="V8" s="28">
        <f t="shared" si="13"/>
        <v>1492825</v>
      </c>
      <c r="W8" s="42">
        <v>50000</v>
      </c>
      <c r="X8" s="42">
        <v>50000</v>
      </c>
      <c r="AA8" s="8" t="s">
        <v>63</v>
      </c>
      <c r="AB8" s="37">
        <v>68250</v>
      </c>
      <c r="AC8" s="37">
        <v>85300</v>
      </c>
      <c r="AD8" s="37">
        <v>102375</v>
      </c>
      <c r="AE8" s="37">
        <f t="shared" si="5"/>
        <v>17050</v>
      </c>
      <c r="AF8" s="37">
        <f t="shared" si="6"/>
        <v>34125</v>
      </c>
      <c r="AG8" s="38">
        <v>0.1</v>
      </c>
      <c r="AH8" s="37">
        <f t="shared" si="14"/>
        <v>4925</v>
      </c>
      <c r="AI8" s="37">
        <f t="shared" si="15"/>
        <v>6170</v>
      </c>
      <c r="AJ8" s="37">
        <f t="shared" si="16"/>
        <v>7387.5</v>
      </c>
      <c r="AK8" s="8">
        <v>7000</v>
      </c>
    </row>
    <row r="9" spans="1:37" x14ac:dyDescent="0.25">
      <c r="A9" s="8">
        <v>5</v>
      </c>
      <c r="B9" s="14" t="s">
        <v>63</v>
      </c>
      <c r="C9" s="8">
        <v>10</v>
      </c>
      <c r="D9" s="10" t="s">
        <v>43</v>
      </c>
      <c r="E9" s="27">
        <f t="shared" ref="E9:S9" si="27">E89+E168</f>
        <v>101000</v>
      </c>
      <c r="F9" s="27">
        <f t="shared" si="27"/>
        <v>174000</v>
      </c>
      <c r="G9" s="27">
        <f t="shared" si="27"/>
        <v>107000</v>
      </c>
      <c r="H9" s="27">
        <f t="shared" si="27"/>
        <v>107000</v>
      </c>
      <c r="I9" s="27">
        <f t="shared" si="27"/>
        <v>107000</v>
      </c>
      <c r="J9" s="27">
        <f t="shared" si="27"/>
        <v>107000</v>
      </c>
      <c r="K9" s="27">
        <f t="shared" si="27"/>
        <v>107000</v>
      </c>
      <c r="L9" s="27">
        <f t="shared" si="27"/>
        <v>107000</v>
      </c>
      <c r="M9" s="39">
        <f t="shared" si="27"/>
        <v>110000</v>
      </c>
      <c r="N9" s="47">
        <f t="shared" ref="N9" si="28">N89+N168</f>
        <v>107000</v>
      </c>
      <c r="O9" s="39">
        <f t="shared" si="27"/>
        <v>110000</v>
      </c>
      <c r="P9" s="47">
        <f t="shared" ref="P9" si="29">P89+P168</f>
        <v>107000</v>
      </c>
      <c r="Q9" s="39">
        <f t="shared" si="27"/>
        <v>110000</v>
      </c>
      <c r="R9" s="47">
        <f t="shared" ref="R9" si="30">R89+R168</f>
        <v>107000</v>
      </c>
      <c r="S9" s="39">
        <f t="shared" si="27"/>
        <v>121000</v>
      </c>
      <c r="T9" s="47">
        <f t="shared" ref="T9" si="31">T89+T168</f>
        <v>113825</v>
      </c>
      <c r="U9" s="28">
        <f t="shared" si="12"/>
        <v>1368000</v>
      </c>
      <c r="V9" s="28">
        <f t="shared" si="13"/>
        <v>1351825</v>
      </c>
      <c r="W9" s="42">
        <v>50000</v>
      </c>
      <c r="X9" s="42">
        <v>50000</v>
      </c>
      <c r="AA9" s="8" t="s">
        <v>64</v>
      </c>
      <c r="AB9" s="37">
        <v>68250</v>
      </c>
      <c r="AC9" s="37">
        <v>85300</v>
      </c>
      <c r="AD9" s="37">
        <v>102375</v>
      </c>
      <c r="AE9" s="37">
        <f t="shared" si="5"/>
        <v>17050</v>
      </c>
      <c r="AF9" s="37">
        <f t="shared" si="6"/>
        <v>34125</v>
      </c>
      <c r="AG9" s="38">
        <v>0.1</v>
      </c>
      <c r="AH9" s="37">
        <f t="shared" si="14"/>
        <v>4925</v>
      </c>
      <c r="AI9" s="37">
        <f t="shared" si="15"/>
        <v>6170</v>
      </c>
      <c r="AJ9" s="37">
        <f t="shared" si="16"/>
        <v>7387.5</v>
      </c>
      <c r="AK9" s="8">
        <v>7000</v>
      </c>
    </row>
    <row r="10" spans="1:37" x14ac:dyDescent="0.25">
      <c r="A10" s="8">
        <v>6</v>
      </c>
      <c r="B10" s="16" t="s">
        <v>146</v>
      </c>
      <c r="C10" s="8">
        <v>10</v>
      </c>
      <c r="D10" s="9" t="s">
        <v>19</v>
      </c>
      <c r="E10" s="27">
        <f t="shared" ref="E10:S10" si="32">E90+E169</f>
        <v>94000</v>
      </c>
      <c r="F10" s="27">
        <f t="shared" si="32"/>
        <v>167000</v>
      </c>
      <c r="G10" s="27">
        <f t="shared" si="32"/>
        <v>100000</v>
      </c>
      <c r="H10" s="27">
        <f t="shared" si="32"/>
        <v>100000</v>
      </c>
      <c r="I10" s="27">
        <f t="shared" si="32"/>
        <v>100000</v>
      </c>
      <c r="J10" s="27">
        <f t="shared" si="32"/>
        <v>100000</v>
      </c>
      <c r="K10" s="27">
        <f t="shared" si="32"/>
        <v>100000</v>
      </c>
      <c r="L10" s="27">
        <f t="shared" si="32"/>
        <v>100000</v>
      </c>
      <c r="M10" s="39">
        <f t="shared" si="32"/>
        <v>110000</v>
      </c>
      <c r="N10" s="47">
        <f t="shared" ref="N10" si="33">N90+N169</f>
        <v>100000</v>
      </c>
      <c r="O10" s="39">
        <f t="shared" si="32"/>
        <v>110000</v>
      </c>
      <c r="P10" s="47">
        <f t="shared" ref="P10" si="34">P90+P169</f>
        <v>100000</v>
      </c>
      <c r="Q10" s="39">
        <f t="shared" si="32"/>
        <v>110000</v>
      </c>
      <c r="R10" s="47">
        <f t="shared" ref="R10" si="35">R90+R169</f>
        <v>100000</v>
      </c>
      <c r="S10" s="39">
        <f t="shared" si="32"/>
        <v>116000</v>
      </c>
      <c r="T10" s="47">
        <f t="shared" ref="T10" si="36">T90+T169</f>
        <v>106825</v>
      </c>
      <c r="U10" s="28">
        <f t="shared" si="12"/>
        <v>1307000</v>
      </c>
      <c r="V10" s="28">
        <f t="shared" si="13"/>
        <v>1267825</v>
      </c>
      <c r="W10" s="42">
        <v>50000</v>
      </c>
      <c r="X10" s="42">
        <v>50000</v>
      </c>
      <c r="AA10" s="8" t="s">
        <v>66</v>
      </c>
      <c r="AB10" s="37">
        <v>68250</v>
      </c>
      <c r="AC10" s="37">
        <v>85300</v>
      </c>
      <c r="AD10" s="37">
        <v>102375</v>
      </c>
      <c r="AE10" s="37">
        <f t="shared" si="5"/>
        <v>17050</v>
      </c>
      <c r="AF10" s="37">
        <f t="shared" si="6"/>
        <v>34125</v>
      </c>
      <c r="AG10" s="38">
        <v>0.1</v>
      </c>
      <c r="AH10" s="37">
        <f t="shared" si="14"/>
        <v>4925</v>
      </c>
      <c r="AI10" s="37">
        <f t="shared" si="15"/>
        <v>6170</v>
      </c>
      <c r="AJ10" s="37">
        <f t="shared" si="16"/>
        <v>7387.5</v>
      </c>
      <c r="AK10" s="8">
        <v>7000</v>
      </c>
    </row>
    <row r="11" spans="1:37" x14ac:dyDescent="0.25">
      <c r="A11" s="8">
        <v>7</v>
      </c>
      <c r="B11" s="15" t="s">
        <v>67</v>
      </c>
      <c r="C11" s="8">
        <v>8</v>
      </c>
      <c r="D11" s="10" t="s">
        <v>44</v>
      </c>
      <c r="E11" s="27">
        <f t="shared" ref="E11:S11" si="37">E91+E170</f>
        <v>76000</v>
      </c>
      <c r="F11" s="27">
        <f t="shared" si="37"/>
        <v>148000</v>
      </c>
      <c r="G11" s="27">
        <f t="shared" si="37"/>
        <v>80000</v>
      </c>
      <c r="H11" s="27">
        <f t="shared" si="37"/>
        <v>80000</v>
      </c>
      <c r="I11" s="27">
        <f t="shared" si="37"/>
        <v>80000</v>
      </c>
      <c r="J11" s="27">
        <f t="shared" si="37"/>
        <v>80000</v>
      </c>
      <c r="K11" s="27">
        <f t="shared" si="37"/>
        <v>80000</v>
      </c>
      <c r="L11" s="27">
        <f t="shared" si="37"/>
        <v>80000</v>
      </c>
      <c r="M11" s="39">
        <f>M91+M170</f>
        <v>82500</v>
      </c>
      <c r="N11" s="47">
        <f t="shared" ref="N11" si="38">N91+N170</f>
        <v>80000</v>
      </c>
      <c r="O11" s="39">
        <f t="shared" si="37"/>
        <v>82500</v>
      </c>
      <c r="P11" s="47">
        <f t="shared" ref="P11" si="39">P91+P170</f>
        <v>80000</v>
      </c>
      <c r="Q11" s="39">
        <f t="shared" si="37"/>
        <v>82500</v>
      </c>
      <c r="R11" s="47">
        <f t="shared" ref="R11" si="40">R91+R170</f>
        <v>80000</v>
      </c>
      <c r="S11" s="39">
        <f t="shared" si="37"/>
        <v>90750</v>
      </c>
      <c r="T11" s="47">
        <f t="shared" ref="T11" si="41">T91+T170</f>
        <v>86825</v>
      </c>
      <c r="U11" s="28">
        <f t="shared" si="12"/>
        <v>1042250</v>
      </c>
      <c r="V11" s="28">
        <f t="shared" si="13"/>
        <v>1030825</v>
      </c>
      <c r="W11" s="42">
        <v>50000</v>
      </c>
      <c r="X11" s="42">
        <v>50000</v>
      </c>
      <c r="AA11" s="8" t="s">
        <v>59</v>
      </c>
      <c r="AB11" s="37">
        <v>68250</v>
      </c>
      <c r="AC11" s="37">
        <v>85300</v>
      </c>
      <c r="AD11" s="37">
        <v>102375</v>
      </c>
      <c r="AE11" s="37">
        <f t="shared" si="5"/>
        <v>17050</v>
      </c>
      <c r="AF11" s="37">
        <f t="shared" si="6"/>
        <v>34125</v>
      </c>
      <c r="AG11" s="38">
        <v>0.1</v>
      </c>
      <c r="AH11" s="37">
        <f t="shared" si="14"/>
        <v>4925</v>
      </c>
      <c r="AI11" s="37">
        <f t="shared" si="15"/>
        <v>6170</v>
      </c>
      <c r="AJ11" s="37">
        <f t="shared" si="16"/>
        <v>7387.5</v>
      </c>
      <c r="AK11" s="8">
        <v>10000</v>
      </c>
    </row>
    <row r="12" spans="1:37" x14ac:dyDescent="0.25">
      <c r="A12" s="8">
        <v>8</v>
      </c>
      <c r="B12" s="14" t="s">
        <v>64</v>
      </c>
      <c r="C12" s="8">
        <v>12</v>
      </c>
      <c r="D12" s="11" t="s">
        <v>20</v>
      </c>
      <c r="E12" s="27">
        <f t="shared" ref="E12:S12" si="42">E92+E171</f>
        <v>138000</v>
      </c>
      <c r="F12" s="27">
        <f t="shared" si="42"/>
        <v>206000</v>
      </c>
      <c r="G12" s="27">
        <f t="shared" si="42"/>
        <v>145769.25</v>
      </c>
      <c r="H12" s="27">
        <f t="shared" si="42"/>
        <v>145769.25</v>
      </c>
      <c r="I12" s="27">
        <f t="shared" si="42"/>
        <v>145769.25</v>
      </c>
      <c r="J12" s="27">
        <f t="shared" si="42"/>
        <v>145769.25</v>
      </c>
      <c r="K12" s="27">
        <f t="shared" si="42"/>
        <v>145769.25</v>
      </c>
      <c r="L12" s="27">
        <f t="shared" si="42"/>
        <v>145769.25</v>
      </c>
      <c r="M12" s="39">
        <f t="shared" si="42"/>
        <v>154000</v>
      </c>
      <c r="N12" s="47">
        <f t="shared" ref="N12" si="43">N92+N171</f>
        <v>145769.25</v>
      </c>
      <c r="O12" s="39">
        <f t="shared" si="42"/>
        <v>154000</v>
      </c>
      <c r="P12" s="47">
        <f t="shared" ref="P12" si="44">P92+P171</f>
        <v>145769.25</v>
      </c>
      <c r="Q12" s="39">
        <f t="shared" si="42"/>
        <v>154000</v>
      </c>
      <c r="R12" s="47">
        <f t="shared" ref="R12" si="45">R92+R171</f>
        <v>145769.25</v>
      </c>
      <c r="S12" s="39">
        <f t="shared" si="42"/>
        <v>169400</v>
      </c>
      <c r="T12" s="47">
        <f t="shared" ref="T12" si="46">T92+T171</f>
        <v>152594.25</v>
      </c>
      <c r="U12" s="28">
        <f t="shared" si="12"/>
        <v>1850015.5</v>
      </c>
      <c r="V12" s="28">
        <f t="shared" si="13"/>
        <v>1808517.5</v>
      </c>
      <c r="W12" s="42">
        <v>50000</v>
      </c>
      <c r="X12" s="42">
        <v>50000</v>
      </c>
      <c r="Z12" s="41"/>
      <c r="AA12" s="8" t="s">
        <v>62</v>
      </c>
      <c r="AB12" s="37">
        <v>68250</v>
      </c>
      <c r="AC12" s="37">
        <v>85300</v>
      </c>
      <c r="AD12" s="37">
        <v>102375</v>
      </c>
      <c r="AE12" s="37">
        <f t="shared" si="5"/>
        <v>17050</v>
      </c>
      <c r="AF12" s="37">
        <f t="shared" si="6"/>
        <v>34125</v>
      </c>
      <c r="AG12" s="38">
        <v>0.1</v>
      </c>
      <c r="AH12" s="37">
        <f t="shared" si="14"/>
        <v>4925</v>
      </c>
      <c r="AI12" s="37">
        <f t="shared" si="15"/>
        <v>6170</v>
      </c>
      <c r="AJ12" s="37">
        <f t="shared" si="16"/>
        <v>7387.5</v>
      </c>
      <c r="AK12" s="8">
        <v>7000</v>
      </c>
    </row>
    <row r="13" spans="1:37" x14ac:dyDescent="0.25">
      <c r="A13" s="8">
        <v>9</v>
      </c>
      <c r="B13" s="16" t="s">
        <v>146</v>
      </c>
      <c r="C13" s="8">
        <v>12</v>
      </c>
      <c r="D13" s="11" t="s">
        <v>45</v>
      </c>
      <c r="E13" s="27">
        <f t="shared" ref="E13:S13" si="47">E93+E172</f>
        <v>104000</v>
      </c>
      <c r="F13" s="27">
        <f t="shared" si="47"/>
        <v>176000</v>
      </c>
      <c r="G13" s="27">
        <f t="shared" si="47"/>
        <v>120000</v>
      </c>
      <c r="H13" s="27">
        <f t="shared" si="47"/>
        <v>120000</v>
      </c>
      <c r="I13" s="27">
        <f t="shared" si="47"/>
        <v>120000</v>
      </c>
      <c r="J13" s="27">
        <f t="shared" si="47"/>
        <v>120000</v>
      </c>
      <c r="K13" s="27">
        <f t="shared" si="47"/>
        <v>120000</v>
      </c>
      <c r="L13" s="27">
        <f t="shared" si="47"/>
        <v>120000</v>
      </c>
      <c r="M13" s="39">
        <f t="shared" si="47"/>
        <v>110000</v>
      </c>
      <c r="N13" s="47">
        <f t="shared" ref="N13" si="48">N93+N172</f>
        <v>120000</v>
      </c>
      <c r="O13" s="39">
        <f t="shared" si="47"/>
        <v>110000</v>
      </c>
      <c r="P13" s="47">
        <f t="shared" ref="P13" si="49">P93+P172</f>
        <v>120000</v>
      </c>
      <c r="Q13" s="39">
        <f t="shared" si="47"/>
        <v>110000</v>
      </c>
      <c r="R13" s="47">
        <f t="shared" ref="R13" si="50">R93+R172</f>
        <v>120000</v>
      </c>
      <c r="S13" s="39">
        <f t="shared" si="47"/>
        <v>116000</v>
      </c>
      <c r="T13" s="47">
        <f t="shared" ref="T13" si="51">T93+T172</f>
        <v>126825</v>
      </c>
      <c r="U13" s="28">
        <f t="shared" si="12"/>
        <v>1446000</v>
      </c>
      <c r="V13" s="28">
        <f t="shared" si="13"/>
        <v>1486825</v>
      </c>
      <c r="W13" s="42">
        <v>50000</v>
      </c>
      <c r="X13" s="42">
        <v>50000</v>
      </c>
      <c r="Z13" s="41"/>
      <c r="AA13" s="8" t="s">
        <v>67</v>
      </c>
      <c r="AB13" s="37">
        <v>68250</v>
      </c>
      <c r="AC13" s="37">
        <v>85300</v>
      </c>
      <c r="AD13" s="37">
        <v>102375</v>
      </c>
      <c r="AE13" s="37">
        <f t="shared" si="5"/>
        <v>17050</v>
      </c>
      <c r="AF13" s="37">
        <f t="shared" si="6"/>
        <v>34125</v>
      </c>
      <c r="AG13" s="38">
        <v>0.1</v>
      </c>
      <c r="AH13" s="37">
        <f t="shared" si="14"/>
        <v>4925</v>
      </c>
      <c r="AI13" s="37">
        <f t="shared" si="15"/>
        <v>6170</v>
      </c>
      <c r="AJ13" s="37">
        <f t="shared" si="16"/>
        <v>7387.5</v>
      </c>
      <c r="AK13" s="8"/>
    </row>
    <row r="14" spans="1:37" x14ac:dyDescent="0.25">
      <c r="A14" s="8">
        <v>10</v>
      </c>
      <c r="B14" s="15" t="s">
        <v>60</v>
      </c>
      <c r="C14" s="8">
        <v>10</v>
      </c>
      <c r="D14" s="9" t="s">
        <v>21</v>
      </c>
      <c r="E14" s="27">
        <f t="shared" ref="E14:S14" si="52">E94+E173</f>
        <v>94000</v>
      </c>
      <c r="F14" s="27">
        <f t="shared" si="52"/>
        <v>167000</v>
      </c>
      <c r="G14" s="27">
        <f t="shared" si="52"/>
        <v>100000</v>
      </c>
      <c r="H14" s="27">
        <f t="shared" si="52"/>
        <v>100000</v>
      </c>
      <c r="I14" s="27">
        <f t="shared" si="52"/>
        <v>100000</v>
      </c>
      <c r="J14" s="27">
        <f t="shared" si="52"/>
        <v>100000</v>
      </c>
      <c r="K14" s="27">
        <f t="shared" si="52"/>
        <v>100000</v>
      </c>
      <c r="L14" s="27">
        <f t="shared" si="52"/>
        <v>100000</v>
      </c>
      <c r="M14" s="39">
        <f t="shared" si="52"/>
        <v>103125</v>
      </c>
      <c r="N14" s="47">
        <f t="shared" ref="N14" si="53">N94+N173</f>
        <v>100000</v>
      </c>
      <c r="O14" s="39">
        <f t="shared" si="52"/>
        <v>103125</v>
      </c>
      <c r="P14" s="47">
        <f t="shared" ref="P14" si="54">P94+P173</f>
        <v>100000</v>
      </c>
      <c r="Q14" s="39">
        <f t="shared" si="52"/>
        <v>103125</v>
      </c>
      <c r="R14" s="47">
        <f t="shared" ref="R14" si="55">R94+R173</f>
        <v>100000</v>
      </c>
      <c r="S14" s="39">
        <f t="shared" si="52"/>
        <v>113437.5</v>
      </c>
      <c r="T14" s="47">
        <f t="shared" ref="T14" si="56">T94+T173</f>
        <v>106825</v>
      </c>
      <c r="U14" s="28">
        <f t="shared" si="12"/>
        <v>1283812.5</v>
      </c>
      <c r="V14" s="28">
        <f t="shared" si="13"/>
        <v>1267825</v>
      </c>
      <c r="W14" s="42">
        <v>50000</v>
      </c>
      <c r="X14" s="42">
        <v>50000</v>
      </c>
      <c r="AA14" s="8" t="s">
        <v>61</v>
      </c>
      <c r="AB14" s="37">
        <v>68250</v>
      </c>
      <c r="AC14" s="37">
        <v>85300</v>
      </c>
      <c r="AD14" s="37">
        <v>102375</v>
      </c>
      <c r="AE14" s="37">
        <f t="shared" si="5"/>
        <v>17050</v>
      </c>
      <c r="AF14" s="37">
        <f t="shared" si="6"/>
        <v>34125</v>
      </c>
      <c r="AG14" s="38">
        <v>0.1</v>
      </c>
      <c r="AH14" s="37">
        <f t="shared" si="14"/>
        <v>4925</v>
      </c>
      <c r="AI14" s="37">
        <f t="shared" si="15"/>
        <v>6170</v>
      </c>
      <c r="AJ14" s="37">
        <f t="shared" si="16"/>
        <v>7387.5</v>
      </c>
      <c r="AK14" s="8"/>
    </row>
    <row r="15" spans="1:37" x14ac:dyDescent="0.25">
      <c r="A15" s="8">
        <v>11</v>
      </c>
      <c r="B15" s="25" t="s">
        <v>155</v>
      </c>
      <c r="C15" s="8">
        <v>8</v>
      </c>
      <c r="D15" s="9" t="s">
        <v>142</v>
      </c>
      <c r="E15" s="27">
        <f t="shared" ref="E15:S15" si="57">E95+E174</f>
        <v>150000</v>
      </c>
      <c r="F15" s="27">
        <f t="shared" si="57"/>
        <v>310000</v>
      </c>
      <c r="G15" s="27">
        <f t="shared" si="57"/>
        <v>180000</v>
      </c>
      <c r="H15" s="27">
        <f t="shared" si="57"/>
        <v>180000</v>
      </c>
      <c r="I15" s="27">
        <f t="shared" si="57"/>
        <v>180000</v>
      </c>
      <c r="J15" s="27">
        <f t="shared" si="57"/>
        <v>180000</v>
      </c>
      <c r="K15" s="27">
        <f t="shared" si="57"/>
        <v>180000</v>
      </c>
      <c r="L15" s="27">
        <f t="shared" si="57"/>
        <v>180000</v>
      </c>
      <c r="M15" s="39">
        <f t="shared" si="57"/>
        <v>180000</v>
      </c>
      <c r="N15" s="47">
        <f t="shared" ref="N15" si="58">N95+N174</f>
        <v>180000</v>
      </c>
      <c r="O15" s="39">
        <f t="shared" si="57"/>
        <v>180000</v>
      </c>
      <c r="P15" s="47">
        <f t="shared" ref="P15" si="59">P95+P174</f>
        <v>180000</v>
      </c>
      <c r="Q15" s="39">
        <f t="shared" si="57"/>
        <v>180000</v>
      </c>
      <c r="R15" s="47">
        <f t="shared" ref="R15" si="60">R95+R174</f>
        <v>180000</v>
      </c>
      <c r="S15" s="39">
        <f t="shared" si="57"/>
        <v>195000</v>
      </c>
      <c r="T15" s="47">
        <f t="shared" ref="T15" si="61">T95+T174</f>
        <v>195000</v>
      </c>
      <c r="U15" s="28">
        <f t="shared" si="12"/>
        <v>2275000</v>
      </c>
      <c r="V15" s="28">
        <f t="shared" si="13"/>
        <v>2275000</v>
      </c>
      <c r="W15" s="42">
        <v>100000</v>
      </c>
      <c r="X15" s="42">
        <v>100000</v>
      </c>
      <c r="AA15" s="8" t="s">
        <v>68</v>
      </c>
      <c r="AB15" s="37">
        <v>68250</v>
      </c>
      <c r="AC15" s="37">
        <v>85300</v>
      </c>
      <c r="AD15" s="37">
        <v>102375</v>
      </c>
      <c r="AE15" s="37">
        <f t="shared" si="5"/>
        <v>17050</v>
      </c>
      <c r="AF15" s="37">
        <f t="shared" si="6"/>
        <v>34125</v>
      </c>
      <c r="AG15" s="38">
        <v>0.1</v>
      </c>
      <c r="AH15" s="37">
        <f t="shared" si="14"/>
        <v>4925</v>
      </c>
      <c r="AI15" s="37">
        <f t="shared" si="15"/>
        <v>6170</v>
      </c>
      <c r="AJ15" s="37">
        <f t="shared" si="16"/>
        <v>7387.5</v>
      </c>
      <c r="AK15" s="8"/>
    </row>
    <row r="16" spans="1:37" x14ac:dyDescent="0.25">
      <c r="A16" s="8">
        <v>12</v>
      </c>
      <c r="B16" s="15" t="s">
        <v>67</v>
      </c>
      <c r="C16" s="8">
        <v>10</v>
      </c>
      <c r="D16" s="9" t="s">
        <v>46</v>
      </c>
      <c r="E16" s="27">
        <f t="shared" ref="E16:S16" si="62">E96+E175</f>
        <v>94000</v>
      </c>
      <c r="F16" s="27">
        <f t="shared" si="62"/>
        <v>167000</v>
      </c>
      <c r="G16" s="27">
        <f t="shared" si="62"/>
        <v>100000</v>
      </c>
      <c r="H16" s="27">
        <f t="shared" si="62"/>
        <v>100000</v>
      </c>
      <c r="I16" s="27">
        <f t="shared" si="62"/>
        <v>100000</v>
      </c>
      <c r="J16" s="27">
        <f t="shared" si="62"/>
        <v>100000</v>
      </c>
      <c r="K16" s="27">
        <f t="shared" si="62"/>
        <v>100000</v>
      </c>
      <c r="L16" s="27">
        <f t="shared" si="62"/>
        <v>100000</v>
      </c>
      <c r="M16" s="39">
        <f t="shared" si="62"/>
        <v>103125</v>
      </c>
      <c r="N16" s="47">
        <f t="shared" ref="N16" si="63">N96+N175</f>
        <v>100000</v>
      </c>
      <c r="O16" s="39">
        <f t="shared" si="62"/>
        <v>103125</v>
      </c>
      <c r="P16" s="47">
        <f t="shared" ref="P16" si="64">P96+P175</f>
        <v>100000</v>
      </c>
      <c r="Q16" s="39">
        <f t="shared" si="62"/>
        <v>103125</v>
      </c>
      <c r="R16" s="47">
        <f t="shared" ref="R16" si="65">R96+R175</f>
        <v>100000</v>
      </c>
      <c r="S16" s="39">
        <f t="shared" si="62"/>
        <v>113437.5</v>
      </c>
      <c r="T16" s="47">
        <f t="shared" ref="T16" si="66">T96+T175</f>
        <v>106825</v>
      </c>
      <c r="U16" s="28">
        <f t="shared" si="12"/>
        <v>1283812.5</v>
      </c>
      <c r="V16" s="28">
        <f t="shared" si="13"/>
        <v>1267825</v>
      </c>
      <c r="W16" s="42">
        <v>50000</v>
      </c>
      <c r="X16" s="42">
        <v>50000</v>
      </c>
      <c r="AA16" s="8" t="s">
        <v>60</v>
      </c>
      <c r="AB16" s="37">
        <v>68250</v>
      </c>
      <c r="AC16" s="37">
        <v>85300</v>
      </c>
      <c r="AD16" s="37">
        <v>102375</v>
      </c>
      <c r="AE16" s="37">
        <f t="shared" si="5"/>
        <v>17050</v>
      </c>
      <c r="AF16" s="37">
        <f t="shared" si="6"/>
        <v>34125</v>
      </c>
      <c r="AG16" s="38">
        <v>0.1</v>
      </c>
      <c r="AH16" s="37">
        <f t="shared" si="14"/>
        <v>4925</v>
      </c>
      <c r="AI16" s="37">
        <f t="shared" si="15"/>
        <v>6170</v>
      </c>
      <c r="AJ16" s="37">
        <f t="shared" si="16"/>
        <v>7387.5</v>
      </c>
      <c r="AK16" s="8"/>
    </row>
    <row r="17" spans="1:37" x14ac:dyDescent="0.25">
      <c r="A17" s="8">
        <v>13</v>
      </c>
      <c r="B17" s="16" t="s">
        <v>146</v>
      </c>
      <c r="C17" s="8">
        <v>10</v>
      </c>
      <c r="D17" s="11" t="s">
        <v>47</v>
      </c>
      <c r="E17" s="27">
        <f t="shared" ref="E17:S17" si="67">E97+E176</f>
        <v>113000</v>
      </c>
      <c r="F17" s="27">
        <f t="shared" si="67"/>
        <v>185000</v>
      </c>
      <c r="G17" s="27">
        <f t="shared" si="67"/>
        <v>100000</v>
      </c>
      <c r="H17" s="27">
        <f t="shared" si="67"/>
        <v>100000</v>
      </c>
      <c r="I17" s="27">
        <f t="shared" si="67"/>
        <v>100000</v>
      </c>
      <c r="J17" s="27">
        <f t="shared" si="67"/>
        <v>100000</v>
      </c>
      <c r="K17" s="27">
        <f t="shared" si="67"/>
        <v>100000</v>
      </c>
      <c r="L17" s="27">
        <f t="shared" si="67"/>
        <v>100000</v>
      </c>
      <c r="M17" s="39">
        <f t="shared" si="67"/>
        <v>110000</v>
      </c>
      <c r="N17" s="47">
        <f t="shared" ref="N17" si="68">N97+N176</f>
        <v>100000</v>
      </c>
      <c r="O17" s="39">
        <f t="shared" si="67"/>
        <v>110000</v>
      </c>
      <c r="P17" s="47">
        <f t="shared" ref="P17" si="69">P97+P176</f>
        <v>100000</v>
      </c>
      <c r="Q17" s="39">
        <f t="shared" si="67"/>
        <v>110000</v>
      </c>
      <c r="R17" s="47">
        <f t="shared" ref="R17" si="70">R97+R176</f>
        <v>100000</v>
      </c>
      <c r="S17" s="39">
        <f t="shared" si="67"/>
        <v>116000</v>
      </c>
      <c r="T17" s="47">
        <f t="shared" ref="T17" si="71">T97+T176</f>
        <v>106825</v>
      </c>
      <c r="U17" s="28">
        <f t="shared" si="12"/>
        <v>1344000</v>
      </c>
      <c r="V17" s="28">
        <f t="shared" si="13"/>
        <v>1304825</v>
      </c>
      <c r="W17" s="42">
        <v>50000</v>
      </c>
      <c r="X17" s="42">
        <v>50000</v>
      </c>
      <c r="AA17" s="8" t="s">
        <v>141</v>
      </c>
      <c r="AB17" s="37">
        <v>65000</v>
      </c>
      <c r="AC17" s="37">
        <v>81250</v>
      </c>
      <c r="AD17" s="37">
        <v>97500</v>
      </c>
      <c r="AE17" s="37">
        <f t="shared" si="5"/>
        <v>16250</v>
      </c>
      <c r="AF17" s="37">
        <f t="shared" si="6"/>
        <v>32500</v>
      </c>
      <c r="AG17" s="38"/>
      <c r="AH17" s="37"/>
      <c r="AI17" s="37"/>
      <c r="AJ17" s="37"/>
      <c r="AK17" s="8"/>
    </row>
    <row r="18" spans="1:37" x14ac:dyDescent="0.25">
      <c r="A18" s="8">
        <v>14</v>
      </c>
      <c r="B18" s="14" t="s">
        <v>65</v>
      </c>
      <c r="C18" s="8">
        <v>10</v>
      </c>
      <c r="D18" s="11" t="s">
        <v>48</v>
      </c>
      <c r="E18" s="27">
        <f t="shared" ref="E18:S18" si="72">E98+E177</f>
        <v>120000</v>
      </c>
      <c r="F18" s="27">
        <f t="shared" si="72"/>
        <v>192000</v>
      </c>
      <c r="G18" s="27">
        <f t="shared" si="72"/>
        <v>127000</v>
      </c>
      <c r="H18" s="27">
        <f t="shared" si="72"/>
        <v>127000</v>
      </c>
      <c r="I18" s="27">
        <f t="shared" si="72"/>
        <v>127000</v>
      </c>
      <c r="J18" s="27">
        <f t="shared" si="72"/>
        <v>127000</v>
      </c>
      <c r="K18" s="27">
        <f t="shared" si="72"/>
        <v>127000</v>
      </c>
      <c r="L18" s="27">
        <f t="shared" si="72"/>
        <v>127000</v>
      </c>
      <c r="M18" s="39">
        <f t="shared" si="72"/>
        <v>132000</v>
      </c>
      <c r="N18" s="47">
        <f t="shared" ref="N18" si="73">N98+N177</f>
        <v>127000</v>
      </c>
      <c r="O18" s="39">
        <f t="shared" si="72"/>
        <v>132000</v>
      </c>
      <c r="P18" s="47">
        <f t="shared" ref="P18" si="74">P98+P177</f>
        <v>127000</v>
      </c>
      <c r="Q18" s="39">
        <f t="shared" si="72"/>
        <v>132000</v>
      </c>
      <c r="R18" s="47">
        <f t="shared" ref="R18" si="75">R98+R177</f>
        <v>127000</v>
      </c>
      <c r="S18" s="39">
        <f t="shared" si="72"/>
        <v>145200</v>
      </c>
      <c r="T18" s="47">
        <f t="shared" ref="T18" si="76">T98+T177</f>
        <v>133825</v>
      </c>
      <c r="U18" s="28">
        <f t="shared" si="12"/>
        <v>1615200</v>
      </c>
      <c r="V18" s="28">
        <f t="shared" si="13"/>
        <v>1588825</v>
      </c>
      <c r="W18" s="42">
        <v>50000</v>
      </c>
      <c r="X18" s="42">
        <v>50000</v>
      </c>
      <c r="AA18" s="8" t="s">
        <v>139</v>
      </c>
      <c r="AB18" s="37">
        <v>68250</v>
      </c>
      <c r="AC18" s="37">
        <v>85300</v>
      </c>
      <c r="AD18" s="37">
        <v>102375</v>
      </c>
      <c r="AE18" s="37">
        <f t="shared" si="5"/>
        <v>17050</v>
      </c>
      <c r="AF18" s="37">
        <f t="shared" si="6"/>
        <v>34125</v>
      </c>
      <c r="AG18" s="38">
        <v>0.1</v>
      </c>
      <c r="AH18" s="37">
        <f t="shared" ref="AH18:AH19" si="77">80000-AB18-AB18*AG18</f>
        <v>4925</v>
      </c>
      <c r="AI18" s="37">
        <f t="shared" ref="AI18:AI19" si="78">100000-AC18-AC18*AG18</f>
        <v>6170</v>
      </c>
      <c r="AJ18" s="37">
        <f t="shared" ref="AJ18:AJ19" si="79">120000-AD18-AD18*AG18</f>
        <v>7387.5</v>
      </c>
      <c r="AK18" s="8"/>
    </row>
    <row r="19" spans="1:37" x14ac:dyDescent="0.25">
      <c r="A19" s="8">
        <v>15</v>
      </c>
      <c r="B19" s="15" t="s">
        <v>60</v>
      </c>
      <c r="C19" s="30">
        <v>10</v>
      </c>
      <c r="D19" s="12" t="s">
        <v>22</v>
      </c>
      <c r="E19" s="27">
        <f t="shared" ref="E19:S19" si="80">E99+E178</f>
        <v>94000</v>
      </c>
      <c r="F19" s="27">
        <f t="shared" si="80"/>
        <v>167000</v>
      </c>
      <c r="G19" s="27">
        <f t="shared" si="80"/>
        <v>100000</v>
      </c>
      <c r="H19" s="27">
        <f t="shared" si="80"/>
        <v>100000</v>
      </c>
      <c r="I19" s="27">
        <f t="shared" si="80"/>
        <v>100000</v>
      </c>
      <c r="J19" s="27">
        <f t="shared" si="80"/>
        <v>100000</v>
      </c>
      <c r="K19" s="27">
        <f t="shared" si="80"/>
        <v>100000</v>
      </c>
      <c r="L19" s="27">
        <f t="shared" si="80"/>
        <v>100000</v>
      </c>
      <c r="M19" s="39">
        <f t="shared" si="80"/>
        <v>103125</v>
      </c>
      <c r="N19" s="47">
        <f t="shared" ref="N19" si="81">N99+N178</f>
        <v>100000</v>
      </c>
      <c r="O19" s="39">
        <f t="shared" si="80"/>
        <v>103125</v>
      </c>
      <c r="P19" s="47">
        <f t="shared" ref="P19" si="82">P99+P178</f>
        <v>100000</v>
      </c>
      <c r="Q19" s="39">
        <f t="shared" si="80"/>
        <v>103125</v>
      </c>
      <c r="R19" s="47">
        <f t="shared" ref="R19" si="83">R99+R178</f>
        <v>100000</v>
      </c>
      <c r="S19" s="39">
        <f t="shared" si="80"/>
        <v>113437.5</v>
      </c>
      <c r="T19" s="47">
        <f t="shared" ref="T19" si="84">T99+T178</f>
        <v>106825</v>
      </c>
      <c r="U19" s="28">
        <f t="shared" si="12"/>
        <v>1283812.5</v>
      </c>
      <c r="V19" s="28">
        <f t="shared" si="13"/>
        <v>1267825</v>
      </c>
      <c r="W19" s="42">
        <v>50000</v>
      </c>
      <c r="X19" s="42">
        <v>50000</v>
      </c>
      <c r="AA19" s="8" t="s">
        <v>140</v>
      </c>
      <c r="AB19" s="37">
        <v>68250</v>
      </c>
      <c r="AC19" s="37">
        <v>85300</v>
      </c>
      <c r="AD19" s="37">
        <v>102375</v>
      </c>
      <c r="AE19" s="37">
        <f t="shared" si="5"/>
        <v>17050</v>
      </c>
      <c r="AF19" s="37">
        <f t="shared" si="6"/>
        <v>34125</v>
      </c>
      <c r="AG19" s="38">
        <v>0.1</v>
      </c>
      <c r="AH19" s="37">
        <f t="shared" si="77"/>
        <v>4925</v>
      </c>
      <c r="AI19" s="37">
        <f t="shared" si="78"/>
        <v>6170</v>
      </c>
      <c r="AJ19" s="37">
        <f t="shared" si="79"/>
        <v>7387.5</v>
      </c>
      <c r="AK19" s="8"/>
    </row>
    <row r="20" spans="1:37" x14ac:dyDescent="0.25">
      <c r="A20" s="8">
        <v>16</v>
      </c>
      <c r="B20" s="16" t="s">
        <v>146</v>
      </c>
      <c r="C20" s="30">
        <v>10</v>
      </c>
      <c r="D20" s="12" t="s">
        <v>49</v>
      </c>
      <c r="E20" s="27">
        <f t="shared" ref="E20:S20" si="85">E100+E179</f>
        <v>94000</v>
      </c>
      <c r="F20" s="27">
        <f t="shared" si="85"/>
        <v>167000</v>
      </c>
      <c r="G20" s="27">
        <f t="shared" si="85"/>
        <v>100000</v>
      </c>
      <c r="H20" s="27">
        <f t="shared" si="85"/>
        <v>100000</v>
      </c>
      <c r="I20" s="27">
        <f t="shared" si="85"/>
        <v>100000</v>
      </c>
      <c r="J20" s="27">
        <f t="shared" si="85"/>
        <v>100000</v>
      </c>
      <c r="K20" s="27">
        <f t="shared" si="85"/>
        <v>100000</v>
      </c>
      <c r="L20" s="27">
        <f t="shared" si="85"/>
        <v>100000</v>
      </c>
      <c r="M20" s="39">
        <f t="shared" si="85"/>
        <v>110000</v>
      </c>
      <c r="N20" s="47">
        <f t="shared" ref="N20" si="86">N100+N179</f>
        <v>100000</v>
      </c>
      <c r="O20" s="39">
        <f t="shared" si="85"/>
        <v>110000</v>
      </c>
      <c r="P20" s="47">
        <f t="shared" ref="P20" si="87">P100+P179</f>
        <v>100000</v>
      </c>
      <c r="Q20" s="39">
        <f t="shared" si="85"/>
        <v>110000</v>
      </c>
      <c r="R20" s="47">
        <f t="shared" ref="R20" si="88">R100+R179</f>
        <v>100000</v>
      </c>
      <c r="S20" s="39">
        <f t="shared" si="85"/>
        <v>116000</v>
      </c>
      <c r="T20" s="47">
        <f t="shared" ref="T20" si="89">T100+T179</f>
        <v>106825</v>
      </c>
      <c r="U20" s="28">
        <f t="shared" si="12"/>
        <v>1307000</v>
      </c>
      <c r="V20" s="28">
        <f t="shared" si="13"/>
        <v>1267825</v>
      </c>
      <c r="W20" s="42">
        <v>50000</v>
      </c>
      <c r="X20" s="42">
        <v>50000</v>
      </c>
      <c r="AA20" s="8" t="s">
        <v>147</v>
      </c>
      <c r="AB20" s="37">
        <v>70000</v>
      </c>
      <c r="AC20" s="37"/>
      <c r="AD20" s="37"/>
      <c r="AE20" s="37"/>
      <c r="AF20" s="37"/>
      <c r="AG20" s="38"/>
      <c r="AH20" s="37"/>
      <c r="AI20" s="37"/>
      <c r="AJ20" s="37"/>
      <c r="AK20" s="8"/>
    </row>
    <row r="21" spans="1:37" x14ac:dyDescent="0.25">
      <c r="A21" s="8">
        <v>17</v>
      </c>
      <c r="B21" s="16" t="s">
        <v>146</v>
      </c>
      <c r="C21" s="8">
        <v>10</v>
      </c>
      <c r="D21" s="9" t="s">
        <v>23</v>
      </c>
      <c r="E21" s="27">
        <f t="shared" ref="E21:S21" si="90">E101+E180</f>
        <v>94000</v>
      </c>
      <c r="F21" s="27">
        <f t="shared" si="90"/>
        <v>167000</v>
      </c>
      <c r="G21" s="27">
        <f t="shared" si="90"/>
        <v>100000</v>
      </c>
      <c r="H21" s="27">
        <f t="shared" si="90"/>
        <v>100000</v>
      </c>
      <c r="I21" s="27">
        <f t="shared" si="90"/>
        <v>100000</v>
      </c>
      <c r="J21" s="27">
        <f t="shared" si="90"/>
        <v>100000</v>
      </c>
      <c r="K21" s="27">
        <f t="shared" si="90"/>
        <v>100000</v>
      </c>
      <c r="L21" s="27">
        <f t="shared" si="90"/>
        <v>100000</v>
      </c>
      <c r="M21" s="39">
        <f t="shared" si="90"/>
        <v>110000</v>
      </c>
      <c r="N21" s="47">
        <f t="shared" ref="N21" si="91">N101+N180</f>
        <v>100000</v>
      </c>
      <c r="O21" s="39">
        <f t="shared" si="90"/>
        <v>110000</v>
      </c>
      <c r="P21" s="47">
        <f t="shared" ref="P21" si="92">P101+P180</f>
        <v>100000</v>
      </c>
      <c r="Q21" s="39">
        <f t="shared" si="90"/>
        <v>110000</v>
      </c>
      <c r="R21" s="47">
        <f t="shared" ref="R21" si="93">R101+R180</f>
        <v>100000</v>
      </c>
      <c r="S21" s="39">
        <f t="shared" si="90"/>
        <v>116000</v>
      </c>
      <c r="T21" s="47">
        <f t="shared" ref="T21" si="94">T101+T180</f>
        <v>106825</v>
      </c>
      <c r="U21" s="28">
        <f t="shared" si="12"/>
        <v>1307000</v>
      </c>
      <c r="V21" s="28">
        <f t="shared" si="13"/>
        <v>1267825</v>
      </c>
      <c r="W21" s="42">
        <v>50000</v>
      </c>
      <c r="X21" s="42">
        <v>50000</v>
      </c>
      <c r="AA21" s="8" t="s">
        <v>148</v>
      </c>
      <c r="AB21" s="37">
        <v>100000</v>
      </c>
      <c r="AC21" s="37"/>
      <c r="AD21" s="37"/>
      <c r="AE21" s="37"/>
      <c r="AF21" s="37"/>
      <c r="AG21" s="38"/>
      <c r="AH21" s="37"/>
      <c r="AI21" s="37"/>
      <c r="AJ21" s="37"/>
      <c r="AK21" s="8"/>
    </row>
    <row r="22" spans="1:37" x14ac:dyDescent="0.25">
      <c r="A22" s="8">
        <v>18</v>
      </c>
      <c r="B22" s="16" t="s">
        <v>146</v>
      </c>
      <c r="C22" s="8">
        <v>10</v>
      </c>
      <c r="D22" s="9" t="s">
        <v>24</v>
      </c>
      <c r="E22" s="27">
        <f t="shared" ref="E22:S22" si="95">E102+E181</f>
        <v>94000</v>
      </c>
      <c r="F22" s="27">
        <f t="shared" si="95"/>
        <v>167000</v>
      </c>
      <c r="G22" s="27">
        <f t="shared" si="95"/>
        <v>100000</v>
      </c>
      <c r="H22" s="27">
        <f t="shared" si="95"/>
        <v>100000</v>
      </c>
      <c r="I22" s="27">
        <f t="shared" si="95"/>
        <v>100000</v>
      </c>
      <c r="J22" s="27">
        <f t="shared" si="95"/>
        <v>100000</v>
      </c>
      <c r="K22" s="27">
        <f t="shared" si="95"/>
        <v>100000</v>
      </c>
      <c r="L22" s="27">
        <f t="shared" si="95"/>
        <v>100000</v>
      </c>
      <c r="M22" s="39">
        <f t="shared" si="95"/>
        <v>110000</v>
      </c>
      <c r="N22" s="47">
        <f t="shared" ref="N22" si="96">N102+N181</f>
        <v>100000</v>
      </c>
      <c r="O22" s="39">
        <f t="shared" si="95"/>
        <v>110000</v>
      </c>
      <c r="P22" s="47">
        <f t="shared" ref="P22" si="97">P102+P181</f>
        <v>100000</v>
      </c>
      <c r="Q22" s="39">
        <f t="shared" si="95"/>
        <v>110000</v>
      </c>
      <c r="R22" s="47">
        <f t="shared" ref="R22" si="98">R102+R181</f>
        <v>100000</v>
      </c>
      <c r="S22" s="39">
        <f t="shared" si="95"/>
        <v>116000</v>
      </c>
      <c r="T22" s="47">
        <f t="shared" ref="T22" si="99">T102+T181</f>
        <v>106825</v>
      </c>
      <c r="U22" s="28">
        <f t="shared" si="12"/>
        <v>1307000</v>
      </c>
      <c r="V22" s="28">
        <f t="shared" si="13"/>
        <v>1267825</v>
      </c>
      <c r="W22" s="42">
        <v>50000</v>
      </c>
      <c r="X22" s="42">
        <v>50000</v>
      </c>
      <c r="AA22" s="8" t="s">
        <v>155</v>
      </c>
      <c r="AB22" s="37">
        <v>150000</v>
      </c>
      <c r="AC22" s="37"/>
      <c r="AD22" s="37"/>
      <c r="AE22" s="37"/>
      <c r="AF22" s="37"/>
      <c r="AG22" s="38"/>
      <c r="AH22" s="37">
        <v>30000</v>
      </c>
      <c r="AI22" s="37"/>
      <c r="AJ22" s="37"/>
      <c r="AK22" s="8"/>
    </row>
    <row r="23" spans="1:37" x14ac:dyDescent="0.25">
      <c r="A23" s="8">
        <v>19</v>
      </c>
      <c r="B23" s="15" t="s">
        <v>60</v>
      </c>
      <c r="C23" s="8">
        <v>8</v>
      </c>
      <c r="D23" s="11" t="s">
        <v>50</v>
      </c>
      <c r="E23" s="27">
        <f t="shared" ref="E23:S23" si="100">E103+E182</f>
        <v>76000</v>
      </c>
      <c r="F23" s="27">
        <f t="shared" si="100"/>
        <v>148000</v>
      </c>
      <c r="G23" s="27">
        <f t="shared" si="100"/>
        <v>80000</v>
      </c>
      <c r="H23" s="27">
        <f t="shared" si="100"/>
        <v>80000</v>
      </c>
      <c r="I23" s="27">
        <f t="shared" si="100"/>
        <v>80000</v>
      </c>
      <c r="J23" s="27">
        <f t="shared" si="100"/>
        <v>80000</v>
      </c>
      <c r="K23" s="27">
        <f t="shared" si="100"/>
        <v>80000</v>
      </c>
      <c r="L23" s="27">
        <f t="shared" si="100"/>
        <v>80000</v>
      </c>
      <c r="M23" s="39">
        <f t="shared" si="100"/>
        <v>82500</v>
      </c>
      <c r="N23" s="47">
        <f t="shared" ref="N23" si="101">N103+N182</f>
        <v>80000</v>
      </c>
      <c r="O23" s="39">
        <f t="shared" si="100"/>
        <v>82500</v>
      </c>
      <c r="P23" s="47">
        <f t="shared" ref="P23" si="102">P103+P182</f>
        <v>80000</v>
      </c>
      <c r="Q23" s="39">
        <f t="shared" si="100"/>
        <v>82500</v>
      </c>
      <c r="R23" s="47">
        <f t="shared" ref="R23" si="103">R103+R182</f>
        <v>80000</v>
      </c>
      <c r="S23" s="39">
        <f t="shared" si="100"/>
        <v>90750</v>
      </c>
      <c r="T23" s="47">
        <f t="shared" ref="T23" si="104">T103+T182</f>
        <v>86825</v>
      </c>
      <c r="U23" s="28">
        <f t="shared" si="12"/>
        <v>1042250</v>
      </c>
      <c r="V23" s="28">
        <f t="shared" si="13"/>
        <v>1030825</v>
      </c>
      <c r="W23" s="42">
        <v>50000</v>
      </c>
      <c r="X23" s="42">
        <v>50000</v>
      </c>
      <c r="AA23" s="8" t="s">
        <v>151</v>
      </c>
      <c r="AB23" s="37">
        <v>150000</v>
      </c>
      <c r="AC23" s="37"/>
      <c r="AD23" s="37"/>
      <c r="AE23" s="37"/>
      <c r="AF23" s="37"/>
      <c r="AG23" s="38"/>
      <c r="AH23" s="37">
        <v>50000</v>
      </c>
      <c r="AI23" s="37"/>
      <c r="AJ23" s="37"/>
      <c r="AK23" s="8"/>
    </row>
    <row r="24" spans="1:37" x14ac:dyDescent="0.25">
      <c r="A24" s="8">
        <v>20</v>
      </c>
      <c r="B24" s="8" t="s">
        <v>138</v>
      </c>
      <c r="C24" s="8">
        <v>8</v>
      </c>
      <c r="D24" s="9" t="s">
        <v>25</v>
      </c>
      <c r="E24" s="27">
        <f t="shared" ref="E24:S24" si="105">E104+E183</f>
        <v>72000</v>
      </c>
      <c r="F24" s="27">
        <f t="shared" si="105"/>
        <v>132000</v>
      </c>
      <c r="G24" s="27">
        <f t="shared" si="105"/>
        <v>70000</v>
      </c>
      <c r="H24" s="27">
        <f t="shared" si="105"/>
        <v>70000</v>
      </c>
      <c r="I24" s="27">
        <f t="shared" si="105"/>
        <v>70000</v>
      </c>
      <c r="J24" s="27">
        <f t="shared" si="105"/>
        <v>70000</v>
      </c>
      <c r="K24" s="27">
        <f t="shared" si="105"/>
        <v>70000</v>
      </c>
      <c r="L24" s="27">
        <f t="shared" si="105"/>
        <v>70000</v>
      </c>
      <c r="M24" s="39">
        <f t="shared" si="105"/>
        <v>70000</v>
      </c>
      <c r="N24" s="47">
        <f t="shared" ref="N24" si="106">N104+N183</f>
        <v>70000</v>
      </c>
      <c r="O24" s="39">
        <f t="shared" si="105"/>
        <v>70000</v>
      </c>
      <c r="P24" s="47">
        <f t="shared" ref="P24" si="107">P104+P183</f>
        <v>70000</v>
      </c>
      <c r="Q24" s="39">
        <f t="shared" si="105"/>
        <v>70000</v>
      </c>
      <c r="R24" s="47">
        <f t="shared" ref="R24" si="108">R104+R183</f>
        <v>70000</v>
      </c>
      <c r="S24" s="39">
        <f t="shared" si="105"/>
        <v>77000</v>
      </c>
      <c r="T24" s="47">
        <f t="shared" ref="T24" si="109">T104+T183</f>
        <v>77000</v>
      </c>
      <c r="U24" s="28">
        <f t="shared" si="12"/>
        <v>911000</v>
      </c>
      <c r="V24" s="28">
        <f t="shared" si="13"/>
        <v>911000</v>
      </c>
      <c r="W24" s="42">
        <v>50000</v>
      </c>
      <c r="X24" s="42">
        <v>50000</v>
      </c>
      <c r="AA24" s="8" t="s">
        <v>152</v>
      </c>
      <c r="AB24" s="37">
        <v>150000</v>
      </c>
      <c r="AC24" s="37"/>
      <c r="AD24" s="37"/>
      <c r="AE24" s="37"/>
      <c r="AF24" s="37"/>
      <c r="AG24" s="38"/>
      <c r="AH24" s="37">
        <v>30000</v>
      </c>
      <c r="AI24" s="37"/>
      <c r="AJ24" s="37"/>
      <c r="AK24" s="8"/>
    </row>
    <row r="25" spans="1:37" x14ac:dyDescent="0.25">
      <c r="A25" s="8">
        <v>21</v>
      </c>
      <c r="B25" s="16" t="s">
        <v>146</v>
      </c>
      <c r="C25" s="8">
        <v>10</v>
      </c>
      <c r="D25" s="11" t="s">
        <v>51</v>
      </c>
      <c r="E25" s="27">
        <f t="shared" ref="E25:S25" si="110">E105+E184</f>
        <v>94000</v>
      </c>
      <c r="F25" s="27">
        <f t="shared" si="110"/>
        <v>167000</v>
      </c>
      <c r="G25" s="27">
        <f t="shared" si="110"/>
        <v>100000</v>
      </c>
      <c r="H25" s="27">
        <f t="shared" si="110"/>
        <v>100000</v>
      </c>
      <c r="I25" s="27">
        <f t="shared" si="110"/>
        <v>100000</v>
      </c>
      <c r="J25" s="27">
        <f t="shared" si="110"/>
        <v>100000</v>
      </c>
      <c r="K25" s="27">
        <f t="shared" si="110"/>
        <v>100000</v>
      </c>
      <c r="L25" s="27">
        <f t="shared" si="110"/>
        <v>100000</v>
      </c>
      <c r="M25" s="39">
        <f t="shared" si="110"/>
        <v>110000</v>
      </c>
      <c r="N25" s="47">
        <f t="shared" ref="N25" si="111">N105+N184</f>
        <v>100000</v>
      </c>
      <c r="O25" s="39">
        <f t="shared" si="110"/>
        <v>110000</v>
      </c>
      <c r="P25" s="47">
        <f t="shared" ref="P25" si="112">P105+P184</f>
        <v>100000</v>
      </c>
      <c r="Q25" s="39">
        <f t="shared" si="110"/>
        <v>110000</v>
      </c>
      <c r="R25" s="47">
        <f t="shared" ref="R25" si="113">R105+R184</f>
        <v>100000</v>
      </c>
      <c r="S25" s="39">
        <f t="shared" si="110"/>
        <v>116000</v>
      </c>
      <c r="T25" s="47">
        <f t="shared" ref="T25" si="114">T105+T184</f>
        <v>106825</v>
      </c>
      <c r="U25" s="28">
        <f t="shared" si="12"/>
        <v>1307000</v>
      </c>
      <c r="V25" s="28">
        <f t="shared" si="13"/>
        <v>1267825</v>
      </c>
      <c r="W25" s="42">
        <v>50000</v>
      </c>
      <c r="X25" s="42">
        <v>50000</v>
      </c>
      <c r="AA25" s="8" t="s">
        <v>168</v>
      </c>
      <c r="AB25" s="37">
        <v>75000</v>
      </c>
      <c r="AC25" s="8"/>
      <c r="AD25" s="8"/>
      <c r="AE25" s="8"/>
      <c r="AF25" s="8"/>
      <c r="AG25" s="38">
        <v>0.1</v>
      </c>
      <c r="AH25" s="8"/>
      <c r="AI25" s="8"/>
      <c r="AJ25" s="8"/>
      <c r="AK25" s="8"/>
    </row>
    <row r="26" spans="1:37" x14ac:dyDescent="0.25">
      <c r="A26" s="8">
        <v>22</v>
      </c>
      <c r="B26" s="25" t="s">
        <v>154</v>
      </c>
      <c r="C26" s="8">
        <v>8</v>
      </c>
      <c r="D26" s="11" t="s">
        <v>143</v>
      </c>
      <c r="E26" s="27">
        <f t="shared" ref="E26:S26" si="115">E106+E185</f>
        <v>150000</v>
      </c>
      <c r="F26" s="27">
        <f t="shared" si="115"/>
        <v>310000</v>
      </c>
      <c r="G26" s="27">
        <f t="shared" si="115"/>
        <v>200000</v>
      </c>
      <c r="H26" s="27">
        <f t="shared" si="115"/>
        <v>200000</v>
      </c>
      <c r="I26" s="27">
        <f t="shared" si="115"/>
        <v>200000</v>
      </c>
      <c r="J26" s="27">
        <f t="shared" si="115"/>
        <v>200000</v>
      </c>
      <c r="K26" s="27">
        <f t="shared" si="115"/>
        <v>200000</v>
      </c>
      <c r="L26" s="27">
        <f t="shared" si="115"/>
        <v>200000</v>
      </c>
      <c r="M26" s="39">
        <f t="shared" si="115"/>
        <v>200000</v>
      </c>
      <c r="N26" s="47">
        <f t="shared" ref="N26" si="116">N106+N185</f>
        <v>200000</v>
      </c>
      <c r="O26" s="39">
        <f t="shared" si="115"/>
        <v>200000</v>
      </c>
      <c r="P26" s="47">
        <f t="shared" ref="P26" si="117">P106+P185</f>
        <v>200000</v>
      </c>
      <c r="Q26" s="39">
        <f t="shared" si="115"/>
        <v>200000</v>
      </c>
      <c r="R26" s="47">
        <f t="shared" ref="R26" si="118">R106+R185</f>
        <v>200000</v>
      </c>
      <c r="S26" s="39">
        <f t="shared" si="115"/>
        <v>215000</v>
      </c>
      <c r="T26" s="47">
        <f t="shared" ref="T26" si="119">T106+T185</f>
        <v>215000</v>
      </c>
      <c r="U26" s="28">
        <f t="shared" si="12"/>
        <v>2475000</v>
      </c>
      <c r="V26" s="28">
        <f t="shared" si="13"/>
        <v>2475000</v>
      </c>
      <c r="W26" s="42">
        <v>100000</v>
      </c>
      <c r="X26" s="42">
        <v>100000</v>
      </c>
      <c r="AA26" s="8" t="s">
        <v>169</v>
      </c>
      <c r="AB26" s="37">
        <v>90000</v>
      </c>
      <c r="AC26" s="8"/>
      <c r="AD26" s="8"/>
      <c r="AE26" s="8"/>
      <c r="AF26" s="8"/>
      <c r="AG26" s="38">
        <v>0.1</v>
      </c>
      <c r="AH26" s="8"/>
      <c r="AI26" s="8"/>
      <c r="AJ26" s="8"/>
      <c r="AK26" s="8"/>
    </row>
    <row r="27" spans="1:37" x14ac:dyDescent="0.25">
      <c r="A27" s="8">
        <v>23</v>
      </c>
      <c r="B27" s="16" t="s">
        <v>146</v>
      </c>
      <c r="C27" s="8">
        <v>10</v>
      </c>
      <c r="D27" s="9" t="s">
        <v>27</v>
      </c>
      <c r="E27" s="27">
        <f t="shared" ref="E27:S27" si="120">E107+E186</f>
        <v>94000</v>
      </c>
      <c r="F27" s="27">
        <f t="shared" si="120"/>
        <v>167000</v>
      </c>
      <c r="G27" s="27">
        <f t="shared" si="120"/>
        <v>100000</v>
      </c>
      <c r="H27" s="27">
        <f t="shared" si="120"/>
        <v>100000</v>
      </c>
      <c r="I27" s="27">
        <f t="shared" si="120"/>
        <v>100000</v>
      </c>
      <c r="J27" s="27">
        <f t="shared" si="120"/>
        <v>100000</v>
      </c>
      <c r="K27" s="27">
        <f t="shared" si="120"/>
        <v>100000</v>
      </c>
      <c r="L27" s="27">
        <f t="shared" si="120"/>
        <v>100000</v>
      </c>
      <c r="M27" s="39">
        <f t="shared" si="120"/>
        <v>110000</v>
      </c>
      <c r="N27" s="47">
        <f t="shared" ref="N27" si="121">N107+N186</f>
        <v>100000</v>
      </c>
      <c r="O27" s="39">
        <f t="shared" si="120"/>
        <v>110000</v>
      </c>
      <c r="P27" s="47">
        <f t="shared" ref="P27" si="122">P107+P186</f>
        <v>100000</v>
      </c>
      <c r="Q27" s="39">
        <f t="shared" si="120"/>
        <v>110000</v>
      </c>
      <c r="R27" s="47">
        <f t="shared" ref="R27" si="123">R107+R186</f>
        <v>100000</v>
      </c>
      <c r="S27" s="39">
        <f t="shared" si="120"/>
        <v>116000</v>
      </c>
      <c r="T27" s="47">
        <f t="shared" ref="T27" si="124">T107+T186</f>
        <v>106825</v>
      </c>
      <c r="U27" s="28">
        <f t="shared" si="12"/>
        <v>1307000</v>
      </c>
      <c r="V27" s="28">
        <f t="shared" si="13"/>
        <v>1267825</v>
      </c>
      <c r="W27" s="42">
        <v>50000</v>
      </c>
      <c r="X27" s="42">
        <v>50000</v>
      </c>
    </row>
    <row r="28" spans="1:37" x14ac:dyDescent="0.25">
      <c r="A28" s="8">
        <v>24</v>
      </c>
      <c r="B28" s="16" t="s">
        <v>146</v>
      </c>
      <c r="C28" s="8">
        <v>10</v>
      </c>
      <c r="D28" s="9" t="s">
        <v>28</v>
      </c>
      <c r="E28" s="27">
        <f t="shared" ref="E28:S28" si="125">E108+E187</f>
        <v>94000</v>
      </c>
      <c r="F28" s="27">
        <f t="shared" si="125"/>
        <v>167000</v>
      </c>
      <c r="G28" s="27">
        <f t="shared" si="125"/>
        <v>100000</v>
      </c>
      <c r="H28" s="27">
        <f t="shared" si="125"/>
        <v>100000</v>
      </c>
      <c r="I28" s="27">
        <f t="shared" si="125"/>
        <v>100000</v>
      </c>
      <c r="J28" s="27">
        <f t="shared" si="125"/>
        <v>100000</v>
      </c>
      <c r="K28" s="27">
        <f t="shared" si="125"/>
        <v>100000</v>
      </c>
      <c r="L28" s="27">
        <f t="shared" si="125"/>
        <v>100000</v>
      </c>
      <c r="M28" s="39">
        <f t="shared" si="125"/>
        <v>110000</v>
      </c>
      <c r="N28" s="47">
        <f t="shared" ref="N28" si="126">N108+N187</f>
        <v>100000</v>
      </c>
      <c r="O28" s="39">
        <f t="shared" si="125"/>
        <v>110000</v>
      </c>
      <c r="P28" s="47">
        <f t="shared" ref="P28" si="127">P108+P187</f>
        <v>100000</v>
      </c>
      <c r="Q28" s="39">
        <f t="shared" si="125"/>
        <v>110000</v>
      </c>
      <c r="R28" s="47">
        <f t="shared" ref="R28" si="128">R108+R187</f>
        <v>100000</v>
      </c>
      <c r="S28" s="39">
        <f t="shared" si="125"/>
        <v>116000</v>
      </c>
      <c r="T28" s="47">
        <f t="shared" ref="T28" si="129">T108+T187</f>
        <v>106825</v>
      </c>
      <c r="U28" s="28">
        <f t="shared" si="12"/>
        <v>1307000</v>
      </c>
      <c r="V28" s="28">
        <f t="shared" si="13"/>
        <v>1267825</v>
      </c>
      <c r="W28" s="42">
        <v>50000</v>
      </c>
      <c r="X28" s="42">
        <v>50000</v>
      </c>
    </row>
    <row r="29" spans="1:37" x14ac:dyDescent="0.25">
      <c r="A29" s="8">
        <v>25</v>
      </c>
      <c r="B29" s="16" t="s">
        <v>146</v>
      </c>
      <c r="C29" s="8">
        <v>12</v>
      </c>
      <c r="D29" s="9" t="s">
        <v>29</v>
      </c>
      <c r="E29" s="27">
        <f t="shared" ref="E29:S29" si="130">E109+E188</f>
        <v>113000</v>
      </c>
      <c r="F29" s="27">
        <f t="shared" si="130"/>
        <v>185000</v>
      </c>
      <c r="G29" s="27">
        <f t="shared" si="130"/>
        <v>120000</v>
      </c>
      <c r="H29" s="27">
        <f t="shared" si="130"/>
        <v>120000</v>
      </c>
      <c r="I29" s="27">
        <f t="shared" si="130"/>
        <v>120000</v>
      </c>
      <c r="J29" s="27">
        <f t="shared" si="130"/>
        <v>120000</v>
      </c>
      <c r="K29" s="27">
        <f t="shared" si="130"/>
        <v>120000</v>
      </c>
      <c r="L29" s="27">
        <f t="shared" si="130"/>
        <v>120000</v>
      </c>
      <c r="M29" s="39">
        <f t="shared" si="130"/>
        <v>110000</v>
      </c>
      <c r="N29" s="47">
        <f t="shared" ref="N29" si="131">N109+N188</f>
        <v>120000</v>
      </c>
      <c r="O29" s="39">
        <f t="shared" si="130"/>
        <v>110000</v>
      </c>
      <c r="P29" s="47">
        <f t="shared" ref="P29" si="132">P109+P188</f>
        <v>120000</v>
      </c>
      <c r="Q29" s="39">
        <f t="shared" si="130"/>
        <v>110000</v>
      </c>
      <c r="R29" s="47">
        <f t="shared" ref="R29" si="133">R109+R188</f>
        <v>120000</v>
      </c>
      <c r="S29" s="39">
        <f t="shared" si="130"/>
        <v>116000</v>
      </c>
      <c r="T29" s="47">
        <f t="shared" ref="T29" si="134">T109+T188</f>
        <v>126825</v>
      </c>
      <c r="U29" s="28">
        <f t="shared" si="12"/>
        <v>1464000</v>
      </c>
      <c r="V29" s="28">
        <f t="shared" si="13"/>
        <v>1504825</v>
      </c>
      <c r="W29" s="42">
        <v>50000</v>
      </c>
      <c r="X29" s="42">
        <v>50000</v>
      </c>
    </row>
    <row r="30" spans="1:37" x14ac:dyDescent="0.25">
      <c r="A30" s="8">
        <v>26</v>
      </c>
      <c r="B30" s="14" t="s">
        <v>66</v>
      </c>
      <c r="C30" s="8">
        <v>12</v>
      </c>
      <c r="D30" s="11" t="s">
        <v>30</v>
      </c>
      <c r="E30" s="27">
        <f t="shared" ref="E30:S30" si="135">E110+E189</f>
        <v>120000</v>
      </c>
      <c r="F30" s="27">
        <f t="shared" si="135"/>
        <v>192000</v>
      </c>
      <c r="G30" s="27">
        <f t="shared" si="135"/>
        <v>127000</v>
      </c>
      <c r="H30" s="27">
        <f t="shared" si="135"/>
        <v>127000</v>
      </c>
      <c r="I30" s="27">
        <f t="shared" si="135"/>
        <v>127000</v>
      </c>
      <c r="J30" s="27">
        <f t="shared" si="135"/>
        <v>127000</v>
      </c>
      <c r="K30" s="27">
        <f t="shared" si="135"/>
        <v>127000</v>
      </c>
      <c r="L30" s="27">
        <f t="shared" si="135"/>
        <v>127000</v>
      </c>
      <c r="M30" s="39">
        <f t="shared" si="135"/>
        <v>132000</v>
      </c>
      <c r="N30" s="47">
        <f t="shared" ref="N30" si="136">N110+N189</f>
        <v>127000</v>
      </c>
      <c r="O30" s="39">
        <f t="shared" si="135"/>
        <v>132000</v>
      </c>
      <c r="P30" s="47">
        <f t="shared" ref="P30" si="137">P110+P189</f>
        <v>127000</v>
      </c>
      <c r="Q30" s="39">
        <f t="shared" si="135"/>
        <v>132000</v>
      </c>
      <c r="R30" s="47">
        <f t="shared" ref="R30" si="138">R110+R189</f>
        <v>127000</v>
      </c>
      <c r="S30" s="39">
        <f t="shared" si="135"/>
        <v>145200</v>
      </c>
      <c r="T30" s="47">
        <f t="shared" ref="T30" si="139">T110+T189</f>
        <v>133825</v>
      </c>
      <c r="U30" s="28">
        <f t="shared" si="12"/>
        <v>1615200</v>
      </c>
      <c r="V30" s="28">
        <f t="shared" si="13"/>
        <v>1588825</v>
      </c>
      <c r="W30" s="42">
        <v>50000</v>
      </c>
      <c r="X30" s="42">
        <v>50000</v>
      </c>
      <c r="Z30" s="45" t="s">
        <v>16</v>
      </c>
      <c r="AA30" s="45" t="s">
        <v>181</v>
      </c>
      <c r="AB30" s="29" t="s">
        <v>160</v>
      </c>
      <c r="AC30" s="29" t="s">
        <v>150</v>
      </c>
      <c r="AD30" s="29" t="s">
        <v>179</v>
      </c>
      <c r="AE30" s="29" t="s">
        <v>178</v>
      </c>
      <c r="AF30" s="29" t="s">
        <v>180</v>
      </c>
    </row>
    <row r="31" spans="1:37" x14ac:dyDescent="0.25">
      <c r="A31" s="8">
        <v>27</v>
      </c>
      <c r="B31" s="16" t="s">
        <v>146</v>
      </c>
      <c r="C31" s="8">
        <v>10</v>
      </c>
      <c r="D31" s="9" t="s">
        <v>31</v>
      </c>
      <c r="E31" s="27">
        <f t="shared" ref="E31:S31" si="140">E111+E190</f>
        <v>94000</v>
      </c>
      <c r="F31" s="27">
        <f t="shared" si="140"/>
        <v>167000</v>
      </c>
      <c r="G31" s="27">
        <f t="shared" si="140"/>
        <v>100000</v>
      </c>
      <c r="H31" s="27">
        <f t="shared" si="140"/>
        <v>100000</v>
      </c>
      <c r="I31" s="27">
        <f t="shared" si="140"/>
        <v>100000</v>
      </c>
      <c r="J31" s="27">
        <f t="shared" si="140"/>
        <v>100000</v>
      </c>
      <c r="K31" s="27">
        <f t="shared" si="140"/>
        <v>100000</v>
      </c>
      <c r="L31" s="27">
        <f t="shared" si="140"/>
        <v>100000</v>
      </c>
      <c r="M31" s="39">
        <f t="shared" si="140"/>
        <v>110000</v>
      </c>
      <c r="N31" s="47">
        <f t="shared" ref="N31" si="141">N111+N190</f>
        <v>100000</v>
      </c>
      <c r="O31" s="39">
        <f t="shared" si="140"/>
        <v>110000</v>
      </c>
      <c r="P31" s="47">
        <f t="shared" ref="P31" si="142">P111+P190</f>
        <v>100000</v>
      </c>
      <c r="Q31" s="39">
        <f t="shared" si="140"/>
        <v>110000</v>
      </c>
      <c r="R31" s="47">
        <f t="shared" ref="R31" si="143">R111+R190</f>
        <v>100000</v>
      </c>
      <c r="S31" s="39">
        <f t="shared" si="140"/>
        <v>116000</v>
      </c>
      <c r="T31" s="47">
        <f t="shared" ref="T31" si="144">T111+T190</f>
        <v>106825</v>
      </c>
      <c r="U31" s="28">
        <f t="shared" si="12"/>
        <v>1307000</v>
      </c>
      <c r="V31" s="28">
        <f t="shared" si="13"/>
        <v>1267825</v>
      </c>
      <c r="W31" s="42">
        <v>50000</v>
      </c>
      <c r="X31" s="42">
        <v>50000</v>
      </c>
      <c r="Z31" s="8" t="s">
        <v>138</v>
      </c>
      <c r="AA31" s="8" t="s">
        <v>182</v>
      </c>
      <c r="AB31" s="37">
        <v>70000</v>
      </c>
      <c r="AC31" s="38"/>
      <c r="AD31" s="44">
        <v>87500</v>
      </c>
      <c r="AE31" s="44">
        <v>105000</v>
      </c>
      <c r="AF31" s="8"/>
    </row>
    <row r="32" spans="1:37" x14ac:dyDescent="0.25">
      <c r="A32" s="8">
        <v>28</v>
      </c>
      <c r="B32" s="14" t="s">
        <v>62</v>
      </c>
      <c r="C32" s="8">
        <v>10</v>
      </c>
      <c r="D32" s="11" t="s">
        <v>52</v>
      </c>
      <c r="E32" s="27">
        <f t="shared" ref="E32:S32" si="145">E112+E191</f>
        <v>101000</v>
      </c>
      <c r="F32" s="27">
        <f t="shared" si="145"/>
        <v>174000</v>
      </c>
      <c r="G32" s="27">
        <f t="shared" si="145"/>
        <v>107000</v>
      </c>
      <c r="H32" s="27">
        <f t="shared" si="145"/>
        <v>107000</v>
      </c>
      <c r="I32" s="27">
        <f t="shared" si="145"/>
        <v>107000</v>
      </c>
      <c r="J32" s="27">
        <f t="shared" si="145"/>
        <v>107000</v>
      </c>
      <c r="K32" s="27">
        <f t="shared" si="145"/>
        <v>107000</v>
      </c>
      <c r="L32" s="27">
        <f t="shared" si="145"/>
        <v>107000</v>
      </c>
      <c r="M32" s="39">
        <f t="shared" si="145"/>
        <v>110000</v>
      </c>
      <c r="N32" s="47">
        <f t="shared" ref="N32" si="146">N112+N191</f>
        <v>107000</v>
      </c>
      <c r="O32" s="39">
        <f t="shared" si="145"/>
        <v>110000</v>
      </c>
      <c r="P32" s="47">
        <f t="shared" ref="P32" si="147">P112+P191</f>
        <v>107000</v>
      </c>
      <c r="Q32" s="39">
        <f t="shared" si="145"/>
        <v>110000</v>
      </c>
      <c r="R32" s="47">
        <f t="shared" ref="R32" si="148">R112+R191</f>
        <v>107000</v>
      </c>
      <c r="S32" s="39">
        <f t="shared" si="145"/>
        <v>121000</v>
      </c>
      <c r="T32" s="47">
        <f t="shared" ref="T32" si="149">T112+T191</f>
        <v>113825</v>
      </c>
      <c r="U32" s="28">
        <f t="shared" si="12"/>
        <v>1368000</v>
      </c>
      <c r="V32" s="28">
        <f t="shared" si="13"/>
        <v>1351825</v>
      </c>
      <c r="W32" s="42">
        <v>50000</v>
      </c>
      <c r="X32" s="42">
        <v>50000</v>
      </c>
      <c r="Z32" s="8" t="s">
        <v>146</v>
      </c>
      <c r="AA32" s="8" t="s">
        <v>171</v>
      </c>
      <c r="AB32" s="37">
        <v>30000</v>
      </c>
      <c r="AC32" s="40">
        <v>80000</v>
      </c>
      <c r="AD32" s="44">
        <v>37500.000000000007</v>
      </c>
      <c r="AE32" s="44">
        <v>45000.000000000007</v>
      </c>
      <c r="AF32" s="8"/>
    </row>
    <row r="33" spans="1:32" x14ac:dyDescent="0.25">
      <c r="A33" s="8">
        <v>29</v>
      </c>
      <c r="B33" s="16" t="s">
        <v>145</v>
      </c>
      <c r="C33" s="8">
        <v>10</v>
      </c>
      <c r="D33" s="11" t="s">
        <v>53</v>
      </c>
      <c r="E33" s="27">
        <f t="shared" ref="E33:S33" si="150">E113+E192</f>
        <v>94000</v>
      </c>
      <c r="F33" s="27">
        <f t="shared" si="150"/>
        <v>167000</v>
      </c>
      <c r="G33" s="27">
        <f t="shared" si="150"/>
        <v>100000</v>
      </c>
      <c r="H33" s="27">
        <f t="shared" si="150"/>
        <v>100000</v>
      </c>
      <c r="I33" s="27">
        <f t="shared" si="150"/>
        <v>100000</v>
      </c>
      <c r="J33" s="27">
        <f t="shared" si="150"/>
        <v>100000</v>
      </c>
      <c r="K33" s="27">
        <f t="shared" si="150"/>
        <v>100000</v>
      </c>
      <c r="L33" s="27">
        <f t="shared" si="150"/>
        <v>100000</v>
      </c>
      <c r="M33" s="39">
        <f t="shared" si="150"/>
        <v>103125</v>
      </c>
      <c r="N33" s="47">
        <f t="shared" ref="N33" si="151">N113+N192</f>
        <v>100000</v>
      </c>
      <c r="O33" s="39">
        <f t="shared" si="150"/>
        <v>103125</v>
      </c>
      <c r="P33" s="47">
        <f t="shared" ref="P33" si="152">P113+P192</f>
        <v>100000</v>
      </c>
      <c r="Q33" s="39">
        <f t="shared" si="150"/>
        <v>103125</v>
      </c>
      <c r="R33" s="47">
        <f t="shared" ref="R33" si="153">R113+R192</f>
        <v>100000</v>
      </c>
      <c r="S33" s="39">
        <f t="shared" si="150"/>
        <v>113437.5</v>
      </c>
      <c r="T33" s="47">
        <f t="shared" ref="T33" si="154">T113+T192</f>
        <v>106825</v>
      </c>
      <c r="U33" s="28">
        <f t="shared" si="12"/>
        <v>1283812.5</v>
      </c>
      <c r="V33" s="28">
        <f t="shared" si="13"/>
        <v>1267825</v>
      </c>
      <c r="W33" s="42">
        <v>50000</v>
      </c>
      <c r="X33" s="42">
        <v>50000</v>
      </c>
      <c r="Z33" s="8" t="s">
        <v>145</v>
      </c>
      <c r="AA33" s="8" t="s">
        <v>175</v>
      </c>
      <c r="AB33" s="37">
        <v>75000</v>
      </c>
      <c r="AC33" s="38">
        <v>0.1</v>
      </c>
      <c r="AD33" s="44">
        <v>93750</v>
      </c>
      <c r="AE33" s="44">
        <v>112500</v>
      </c>
      <c r="AF33" s="8"/>
    </row>
    <row r="34" spans="1:32" x14ac:dyDescent="0.25">
      <c r="A34" s="8">
        <v>30</v>
      </c>
      <c r="B34" s="16" t="s">
        <v>146</v>
      </c>
      <c r="C34" s="8">
        <v>10</v>
      </c>
      <c r="D34" s="9" t="s">
        <v>32</v>
      </c>
      <c r="E34" s="27">
        <f t="shared" ref="E34:S34" si="155">E114+E193</f>
        <v>94000</v>
      </c>
      <c r="F34" s="27">
        <f t="shared" si="155"/>
        <v>167000</v>
      </c>
      <c r="G34" s="27">
        <f t="shared" si="155"/>
        <v>100000</v>
      </c>
      <c r="H34" s="27">
        <f t="shared" si="155"/>
        <v>100000</v>
      </c>
      <c r="I34" s="27">
        <f t="shared" si="155"/>
        <v>100000</v>
      </c>
      <c r="J34" s="27">
        <f t="shared" si="155"/>
        <v>100000</v>
      </c>
      <c r="K34" s="27">
        <f t="shared" si="155"/>
        <v>100000</v>
      </c>
      <c r="L34" s="27">
        <f t="shared" si="155"/>
        <v>100000</v>
      </c>
      <c r="M34" s="39">
        <f t="shared" si="155"/>
        <v>110000</v>
      </c>
      <c r="N34" s="47">
        <f t="shared" ref="N34" si="156">N114+N193</f>
        <v>100000</v>
      </c>
      <c r="O34" s="39">
        <f t="shared" si="155"/>
        <v>110000</v>
      </c>
      <c r="P34" s="47">
        <f t="shared" ref="P34" si="157">P114+P193</f>
        <v>100000</v>
      </c>
      <c r="Q34" s="39">
        <f t="shared" si="155"/>
        <v>110000</v>
      </c>
      <c r="R34" s="47">
        <f t="shared" ref="R34" si="158">R114+R193</f>
        <v>100000</v>
      </c>
      <c r="S34" s="39">
        <f t="shared" si="155"/>
        <v>116000</v>
      </c>
      <c r="T34" s="47">
        <f t="shared" ref="T34" si="159">T114+T193</f>
        <v>106825</v>
      </c>
      <c r="U34" s="28">
        <f t="shared" si="12"/>
        <v>1307000</v>
      </c>
      <c r="V34" s="28">
        <f t="shared" si="13"/>
        <v>1267825</v>
      </c>
      <c r="W34" s="42">
        <v>50000</v>
      </c>
      <c r="X34" s="42">
        <v>50000</v>
      </c>
      <c r="Z34" s="8" t="s">
        <v>65</v>
      </c>
      <c r="AA34" s="8" t="s">
        <v>176</v>
      </c>
      <c r="AB34" s="37">
        <v>80000</v>
      </c>
      <c r="AC34" s="38">
        <v>0.1</v>
      </c>
      <c r="AD34" s="44">
        <v>100000</v>
      </c>
      <c r="AE34" s="44">
        <v>120000</v>
      </c>
      <c r="AF34" s="8"/>
    </row>
    <row r="35" spans="1:32" x14ac:dyDescent="0.25">
      <c r="A35" s="8">
        <v>31</v>
      </c>
      <c r="B35" s="15" t="s">
        <v>61</v>
      </c>
      <c r="C35" s="8">
        <v>10</v>
      </c>
      <c r="D35" s="9" t="s">
        <v>33</v>
      </c>
      <c r="E35" s="27">
        <f t="shared" ref="E35:S35" si="160">E115+E194</f>
        <v>94000</v>
      </c>
      <c r="F35" s="27">
        <f t="shared" si="160"/>
        <v>167000</v>
      </c>
      <c r="G35" s="27">
        <f t="shared" si="160"/>
        <v>100000</v>
      </c>
      <c r="H35" s="27">
        <f t="shared" si="160"/>
        <v>100000</v>
      </c>
      <c r="I35" s="27">
        <f t="shared" si="160"/>
        <v>100000</v>
      </c>
      <c r="J35" s="27">
        <f t="shared" si="160"/>
        <v>100000</v>
      </c>
      <c r="K35" s="27">
        <f t="shared" si="160"/>
        <v>100000</v>
      </c>
      <c r="L35" s="27">
        <f t="shared" si="160"/>
        <v>100000</v>
      </c>
      <c r="M35" s="39">
        <f t="shared" si="160"/>
        <v>103125</v>
      </c>
      <c r="N35" s="47">
        <f t="shared" ref="N35" si="161">N115+N194</f>
        <v>100000</v>
      </c>
      <c r="O35" s="39">
        <f t="shared" si="160"/>
        <v>103125</v>
      </c>
      <c r="P35" s="47">
        <f t="shared" ref="P35" si="162">P115+P194</f>
        <v>100000</v>
      </c>
      <c r="Q35" s="39">
        <f t="shared" si="160"/>
        <v>103125</v>
      </c>
      <c r="R35" s="47">
        <f t="shared" ref="R35" si="163">R115+R194</f>
        <v>100000</v>
      </c>
      <c r="S35" s="39">
        <f t="shared" si="160"/>
        <v>113437.5</v>
      </c>
      <c r="T35" s="47">
        <f t="shared" ref="T35" si="164">T115+T194</f>
        <v>106825</v>
      </c>
      <c r="U35" s="28">
        <f t="shared" si="12"/>
        <v>1283812.5</v>
      </c>
      <c r="V35" s="28">
        <f t="shared" si="13"/>
        <v>1267825</v>
      </c>
      <c r="W35" s="42">
        <v>50000</v>
      </c>
      <c r="X35" s="42">
        <v>50000</v>
      </c>
      <c r="Z35" s="8" t="s">
        <v>63</v>
      </c>
      <c r="AA35" s="8" t="s">
        <v>175</v>
      </c>
      <c r="AB35" s="37">
        <v>80000</v>
      </c>
      <c r="AC35" s="38">
        <v>0.1</v>
      </c>
      <c r="AD35" s="44">
        <v>100000</v>
      </c>
      <c r="AE35" s="44">
        <v>120000</v>
      </c>
      <c r="AF35" s="8"/>
    </row>
    <row r="36" spans="1:32" x14ac:dyDescent="0.25">
      <c r="A36" s="8">
        <v>32</v>
      </c>
      <c r="B36" s="15" t="s">
        <v>61</v>
      </c>
      <c r="C36" s="8">
        <v>10</v>
      </c>
      <c r="D36" s="9" t="s">
        <v>34</v>
      </c>
      <c r="E36" s="27">
        <f t="shared" ref="E36:S36" si="165">E116+E195</f>
        <v>94000</v>
      </c>
      <c r="F36" s="27">
        <f t="shared" si="165"/>
        <v>167000</v>
      </c>
      <c r="G36" s="27">
        <f t="shared" si="165"/>
        <v>100000</v>
      </c>
      <c r="H36" s="27">
        <f t="shared" si="165"/>
        <v>100000</v>
      </c>
      <c r="I36" s="27">
        <f t="shared" si="165"/>
        <v>100000</v>
      </c>
      <c r="J36" s="27">
        <f t="shared" si="165"/>
        <v>100000</v>
      </c>
      <c r="K36" s="27">
        <f t="shared" si="165"/>
        <v>100000</v>
      </c>
      <c r="L36" s="27">
        <f t="shared" si="165"/>
        <v>100000</v>
      </c>
      <c r="M36" s="39">
        <f t="shared" si="165"/>
        <v>103125</v>
      </c>
      <c r="N36" s="47">
        <f t="shared" ref="N36" si="166">N116+N195</f>
        <v>100000</v>
      </c>
      <c r="O36" s="39">
        <f t="shared" si="165"/>
        <v>103125</v>
      </c>
      <c r="P36" s="47">
        <f t="shared" ref="P36" si="167">P116+P195</f>
        <v>100000</v>
      </c>
      <c r="Q36" s="39">
        <f t="shared" si="165"/>
        <v>103125</v>
      </c>
      <c r="R36" s="47">
        <f t="shared" ref="R36" si="168">R116+R195</f>
        <v>100000</v>
      </c>
      <c r="S36" s="39">
        <f t="shared" si="165"/>
        <v>113437.5</v>
      </c>
      <c r="T36" s="47">
        <f t="shared" ref="T36" si="169">T116+T195</f>
        <v>106825</v>
      </c>
      <c r="U36" s="28">
        <f t="shared" si="12"/>
        <v>1283812.5</v>
      </c>
      <c r="V36" s="28">
        <f t="shared" si="13"/>
        <v>1267825</v>
      </c>
      <c r="W36" s="42">
        <v>50000</v>
      </c>
      <c r="X36" s="42">
        <v>50000</v>
      </c>
      <c r="Z36" s="8" t="s">
        <v>64</v>
      </c>
      <c r="AA36" s="8" t="s">
        <v>172</v>
      </c>
      <c r="AB36" s="37">
        <v>80000</v>
      </c>
      <c r="AC36" s="38">
        <v>0.1</v>
      </c>
      <c r="AD36" s="44">
        <v>100000</v>
      </c>
      <c r="AE36" s="44">
        <v>120000</v>
      </c>
      <c r="AF36" s="44">
        <v>140000</v>
      </c>
    </row>
    <row r="37" spans="1:32" x14ac:dyDescent="0.25">
      <c r="A37" s="8">
        <v>33</v>
      </c>
      <c r="B37" s="16" t="s">
        <v>146</v>
      </c>
      <c r="C37" s="8">
        <v>10</v>
      </c>
      <c r="D37" s="9" t="s">
        <v>54</v>
      </c>
      <c r="E37" s="27">
        <f t="shared" ref="E37:S37" si="170">E117+E196</f>
        <v>94000</v>
      </c>
      <c r="F37" s="27">
        <f t="shared" si="170"/>
        <v>167000</v>
      </c>
      <c r="G37" s="27">
        <f t="shared" si="170"/>
        <v>100000</v>
      </c>
      <c r="H37" s="27">
        <f t="shared" si="170"/>
        <v>100000</v>
      </c>
      <c r="I37" s="27">
        <f t="shared" si="170"/>
        <v>100000</v>
      </c>
      <c r="J37" s="27">
        <f t="shared" si="170"/>
        <v>100000</v>
      </c>
      <c r="K37" s="27">
        <f t="shared" si="170"/>
        <v>100000</v>
      </c>
      <c r="L37" s="27">
        <f t="shared" si="170"/>
        <v>100000</v>
      </c>
      <c r="M37" s="39">
        <f t="shared" si="170"/>
        <v>110000</v>
      </c>
      <c r="N37" s="47">
        <f t="shared" ref="N37" si="171">N117+N196</f>
        <v>100000</v>
      </c>
      <c r="O37" s="39">
        <f t="shared" si="170"/>
        <v>110000</v>
      </c>
      <c r="P37" s="47">
        <f t="shared" ref="P37" si="172">P117+P196</f>
        <v>100000</v>
      </c>
      <c r="Q37" s="39">
        <f t="shared" si="170"/>
        <v>110000</v>
      </c>
      <c r="R37" s="47">
        <f t="shared" ref="R37" si="173">R117+R196</f>
        <v>100000</v>
      </c>
      <c r="S37" s="39">
        <f t="shared" si="170"/>
        <v>116000</v>
      </c>
      <c r="T37" s="47">
        <f t="shared" ref="T37" si="174">T117+T196</f>
        <v>106825</v>
      </c>
      <c r="U37" s="28">
        <f t="shared" si="12"/>
        <v>1307000</v>
      </c>
      <c r="V37" s="28">
        <f t="shared" si="13"/>
        <v>1267825</v>
      </c>
      <c r="W37" s="42">
        <v>50000</v>
      </c>
      <c r="X37" s="42">
        <v>50000</v>
      </c>
      <c r="Z37" s="8" t="s">
        <v>66</v>
      </c>
      <c r="AA37" s="8" t="s">
        <v>175</v>
      </c>
      <c r="AB37" s="37">
        <v>80000</v>
      </c>
      <c r="AC37" s="38">
        <v>0.1</v>
      </c>
      <c r="AD37" s="44">
        <v>100000</v>
      </c>
      <c r="AE37" s="44">
        <v>120000</v>
      </c>
      <c r="AF37" s="8"/>
    </row>
    <row r="38" spans="1:32" x14ac:dyDescent="0.25">
      <c r="A38" s="8">
        <v>34</v>
      </c>
      <c r="B38" s="16" t="s">
        <v>146</v>
      </c>
      <c r="C38" s="8">
        <v>10</v>
      </c>
      <c r="D38" s="11" t="s">
        <v>55</v>
      </c>
      <c r="E38" s="27">
        <f t="shared" ref="E38:S38" si="175">E118+E197</f>
        <v>94000</v>
      </c>
      <c r="F38" s="27">
        <f t="shared" si="175"/>
        <v>167000</v>
      </c>
      <c r="G38" s="27">
        <f t="shared" si="175"/>
        <v>100000</v>
      </c>
      <c r="H38" s="27">
        <f t="shared" si="175"/>
        <v>100000</v>
      </c>
      <c r="I38" s="27">
        <f t="shared" si="175"/>
        <v>100000</v>
      </c>
      <c r="J38" s="27">
        <f t="shared" si="175"/>
        <v>100000</v>
      </c>
      <c r="K38" s="27">
        <f t="shared" si="175"/>
        <v>100000</v>
      </c>
      <c r="L38" s="27">
        <f t="shared" si="175"/>
        <v>100000</v>
      </c>
      <c r="M38" s="39">
        <f t="shared" si="175"/>
        <v>110000</v>
      </c>
      <c r="N38" s="47">
        <f t="shared" ref="N38" si="176">N118+N197</f>
        <v>100000</v>
      </c>
      <c r="O38" s="39">
        <f t="shared" si="175"/>
        <v>110000</v>
      </c>
      <c r="P38" s="47">
        <f t="shared" ref="P38" si="177">P118+P197</f>
        <v>100000</v>
      </c>
      <c r="Q38" s="39">
        <f t="shared" si="175"/>
        <v>110000</v>
      </c>
      <c r="R38" s="47">
        <f t="shared" ref="R38" si="178">R118+R197</f>
        <v>100000</v>
      </c>
      <c r="S38" s="39">
        <f t="shared" si="175"/>
        <v>116000</v>
      </c>
      <c r="T38" s="47">
        <f t="shared" ref="T38" si="179">T118+T197</f>
        <v>106825</v>
      </c>
      <c r="U38" s="28">
        <f t="shared" si="12"/>
        <v>1307000</v>
      </c>
      <c r="V38" s="28">
        <f t="shared" si="13"/>
        <v>1267825</v>
      </c>
      <c r="W38" s="42">
        <v>50000</v>
      </c>
      <c r="X38" s="42">
        <v>50000</v>
      </c>
      <c r="Z38" s="8" t="s">
        <v>59</v>
      </c>
      <c r="AA38" s="8" t="s">
        <v>176</v>
      </c>
      <c r="AB38" s="37">
        <v>80000</v>
      </c>
      <c r="AC38" s="38">
        <v>0.15</v>
      </c>
      <c r="AD38" s="44">
        <v>100000</v>
      </c>
      <c r="AE38" s="44">
        <v>120000</v>
      </c>
      <c r="AF38" s="8"/>
    </row>
    <row r="39" spans="1:32" x14ac:dyDescent="0.25">
      <c r="A39" s="8">
        <v>35</v>
      </c>
      <c r="B39" s="8" t="s">
        <v>138</v>
      </c>
      <c r="C39" s="8">
        <v>10</v>
      </c>
      <c r="D39" s="9" t="s">
        <v>35</v>
      </c>
      <c r="E39" s="27">
        <f t="shared" ref="E39:S39" si="180">E119+E198</f>
        <v>85100</v>
      </c>
      <c r="F39" s="27">
        <f t="shared" si="180"/>
        <v>145100</v>
      </c>
      <c r="G39" s="27">
        <f t="shared" si="180"/>
        <v>87500</v>
      </c>
      <c r="H39" s="27">
        <f t="shared" si="180"/>
        <v>87500</v>
      </c>
      <c r="I39" s="27">
        <f t="shared" si="180"/>
        <v>87500</v>
      </c>
      <c r="J39" s="27">
        <f t="shared" si="180"/>
        <v>87500</v>
      </c>
      <c r="K39" s="27">
        <f t="shared" si="180"/>
        <v>87500</v>
      </c>
      <c r="L39" s="27">
        <f t="shared" si="180"/>
        <v>87500</v>
      </c>
      <c r="M39" s="39">
        <f t="shared" si="180"/>
        <v>87500</v>
      </c>
      <c r="N39" s="47">
        <f t="shared" ref="N39" si="181">N119+N198</f>
        <v>87500</v>
      </c>
      <c r="O39" s="39">
        <f t="shared" si="180"/>
        <v>87500</v>
      </c>
      <c r="P39" s="47">
        <f t="shared" ref="P39" si="182">P119+P198</f>
        <v>87500</v>
      </c>
      <c r="Q39" s="39">
        <f t="shared" si="180"/>
        <v>87500</v>
      </c>
      <c r="R39" s="47">
        <f t="shared" ref="R39" si="183">R119+R198</f>
        <v>87500</v>
      </c>
      <c r="S39" s="39">
        <f t="shared" si="180"/>
        <v>94500</v>
      </c>
      <c r="T39" s="47">
        <f t="shared" ref="T39" si="184">T119+T198</f>
        <v>94500</v>
      </c>
      <c r="U39" s="28">
        <f t="shared" si="12"/>
        <v>1112200</v>
      </c>
      <c r="V39" s="28">
        <f t="shared" si="13"/>
        <v>1112200</v>
      </c>
      <c r="W39" s="42">
        <v>50000</v>
      </c>
      <c r="X39" s="42">
        <v>50000</v>
      </c>
      <c r="Z39" s="8" t="s">
        <v>62</v>
      </c>
      <c r="AA39" s="8" t="s">
        <v>176</v>
      </c>
      <c r="AB39" s="37">
        <v>80000</v>
      </c>
      <c r="AC39" s="38">
        <v>0.1</v>
      </c>
      <c r="AD39" s="44">
        <v>100000</v>
      </c>
      <c r="AE39" s="44">
        <v>120000</v>
      </c>
      <c r="AF39" s="8"/>
    </row>
    <row r="40" spans="1:32" x14ac:dyDescent="0.25">
      <c r="A40" s="8">
        <v>36</v>
      </c>
      <c r="B40" s="16" t="s">
        <v>146</v>
      </c>
      <c r="C40" s="8">
        <v>10</v>
      </c>
      <c r="D40" s="9" t="s">
        <v>36</v>
      </c>
      <c r="E40" s="27">
        <f t="shared" ref="E40:S40" si="185">E120+E199</f>
        <v>94000</v>
      </c>
      <c r="F40" s="27">
        <f t="shared" si="185"/>
        <v>167000</v>
      </c>
      <c r="G40" s="27">
        <f t="shared" si="185"/>
        <v>100000</v>
      </c>
      <c r="H40" s="27">
        <f t="shared" si="185"/>
        <v>100000</v>
      </c>
      <c r="I40" s="27">
        <f t="shared" si="185"/>
        <v>100000</v>
      </c>
      <c r="J40" s="27">
        <f t="shared" si="185"/>
        <v>100000</v>
      </c>
      <c r="K40" s="27">
        <f t="shared" si="185"/>
        <v>100000</v>
      </c>
      <c r="L40" s="27">
        <f t="shared" si="185"/>
        <v>100000</v>
      </c>
      <c r="M40" s="39">
        <f t="shared" si="185"/>
        <v>110000</v>
      </c>
      <c r="N40" s="47">
        <f t="shared" ref="N40" si="186">N120+N199</f>
        <v>100000</v>
      </c>
      <c r="O40" s="39">
        <f t="shared" si="185"/>
        <v>110000</v>
      </c>
      <c r="P40" s="47">
        <f t="shared" ref="P40" si="187">P120+P199</f>
        <v>100000</v>
      </c>
      <c r="Q40" s="39">
        <f t="shared" si="185"/>
        <v>110000</v>
      </c>
      <c r="R40" s="47">
        <f t="shared" ref="R40" si="188">R120+R199</f>
        <v>100000</v>
      </c>
      <c r="S40" s="39">
        <f t="shared" si="185"/>
        <v>116000</v>
      </c>
      <c r="T40" s="47">
        <f t="shared" ref="T40" si="189">T120+T199</f>
        <v>106825</v>
      </c>
      <c r="U40" s="28">
        <f t="shared" si="12"/>
        <v>1307000</v>
      </c>
      <c r="V40" s="28">
        <f t="shared" si="13"/>
        <v>1267825</v>
      </c>
      <c r="W40" s="42">
        <v>50000</v>
      </c>
      <c r="X40" s="42">
        <v>50000</v>
      </c>
      <c r="Z40" s="8" t="s">
        <v>67</v>
      </c>
      <c r="AA40" s="8" t="s">
        <v>176</v>
      </c>
      <c r="AB40" s="37">
        <v>75000</v>
      </c>
      <c r="AC40" s="38">
        <v>0.1</v>
      </c>
      <c r="AD40" s="44">
        <v>93750</v>
      </c>
      <c r="AE40" s="44">
        <v>112500</v>
      </c>
      <c r="AF40" s="8"/>
    </row>
    <row r="41" spans="1:32" x14ac:dyDescent="0.25">
      <c r="A41" s="8">
        <v>37</v>
      </c>
      <c r="B41" s="16" t="s">
        <v>146</v>
      </c>
      <c r="C41" s="8">
        <v>12</v>
      </c>
      <c r="D41" s="9" t="s">
        <v>37</v>
      </c>
      <c r="E41" s="27">
        <f t="shared" ref="E41:S41" si="190">E121+E200</f>
        <v>94000</v>
      </c>
      <c r="F41" s="27">
        <f t="shared" si="190"/>
        <v>167000</v>
      </c>
      <c r="G41" s="27">
        <f t="shared" si="190"/>
        <v>120000</v>
      </c>
      <c r="H41" s="27">
        <f t="shared" si="190"/>
        <v>120000</v>
      </c>
      <c r="I41" s="27">
        <f t="shared" si="190"/>
        <v>120000</v>
      </c>
      <c r="J41" s="27">
        <f t="shared" si="190"/>
        <v>120000</v>
      </c>
      <c r="K41" s="27">
        <f t="shared" si="190"/>
        <v>120000</v>
      </c>
      <c r="L41" s="27">
        <f t="shared" si="190"/>
        <v>120000</v>
      </c>
      <c r="M41" s="39">
        <f t="shared" si="190"/>
        <v>110000</v>
      </c>
      <c r="N41" s="47">
        <f t="shared" ref="N41" si="191">N121+N200</f>
        <v>120000</v>
      </c>
      <c r="O41" s="39">
        <f t="shared" si="190"/>
        <v>110000</v>
      </c>
      <c r="P41" s="47">
        <f t="shared" ref="P41" si="192">P121+P200</f>
        <v>120000</v>
      </c>
      <c r="Q41" s="39">
        <f t="shared" si="190"/>
        <v>110000</v>
      </c>
      <c r="R41" s="47">
        <f t="shared" ref="R41" si="193">R121+R200</f>
        <v>120000</v>
      </c>
      <c r="S41" s="39">
        <f t="shared" si="190"/>
        <v>116000</v>
      </c>
      <c r="T41" s="47">
        <f t="shared" ref="T41" si="194">T121+T200</f>
        <v>126825</v>
      </c>
      <c r="U41" s="28">
        <f t="shared" si="12"/>
        <v>1427000</v>
      </c>
      <c r="V41" s="28">
        <f t="shared" si="13"/>
        <v>1467825</v>
      </c>
      <c r="W41" s="42">
        <v>50000</v>
      </c>
      <c r="X41" s="42">
        <v>50000</v>
      </c>
      <c r="Z41" s="8" t="s">
        <v>61</v>
      </c>
      <c r="AA41" s="8" t="s">
        <v>176</v>
      </c>
      <c r="AB41" s="37">
        <v>75000</v>
      </c>
      <c r="AC41" s="38">
        <v>0.1</v>
      </c>
      <c r="AD41" s="44">
        <v>93750</v>
      </c>
      <c r="AE41" s="44">
        <v>112500</v>
      </c>
      <c r="AF41" s="8"/>
    </row>
    <row r="42" spans="1:32" x14ac:dyDescent="0.25">
      <c r="A42" s="8">
        <v>38</v>
      </c>
      <c r="B42" s="16" t="s">
        <v>145</v>
      </c>
      <c r="C42" s="8">
        <v>12</v>
      </c>
      <c r="D42" s="11" t="s">
        <v>56</v>
      </c>
      <c r="E42" s="27">
        <f t="shared" ref="E42:S42" si="195">E122+E201</f>
        <v>94000</v>
      </c>
      <c r="F42" s="27">
        <f t="shared" si="195"/>
        <v>167000</v>
      </c>
      <c r="G42" s="27">
        <f t="shared" si="195"/>
        <v>120000</v>
      </c>
      <c r="H42" s="27">
        <f t="shared" si="195"/>
        <v>120000</v>
      </c>
      <c r="I42" s="27">
        <f t="shared" si="195"/>
        <v>120000</v>
      </c>
      <c r="J42" s="27">
        <f t="shared" si="195"/>
        <v>120000</v>
      </c>
      <c r="K42" s="27">
        <f t="shared" si="195"/>
        <v>120000</v>
      </c>
      <c r="L42" s="27">
        <f t="shared" si="195"/>
        <v>120000</v>
      </c>
      <c r="M42" s="39">
        <f t="shared" si="195"/>
        <v>123750</v>
      </c>
      <c r="N42" s="47">
        <f t="shared" ref="N42" si="196">N122+N201</f>
        <v>120000</v>
      </c>
      <c r="O42" s="39">
        <f t="shared" si="195"/>
        <v>123750</v>
      </c>
      <c r="P42" s="47">
        <f t="shared" ref="P42" si="197">P122+P201</f>
        <v>120000</v>
      </c>
      <c r="Q42" s="39">
        <f t="shared" si="195"/>
        <v>123750</v>
      </c>
      <c r="R42" s="47">
        <f t="shared" ref="R42" si="198">R122+R201</f>
        <v>120000</v>
      </c>
      <c r="S42" s="39">
        <f t="shared" si="195"/>
        <v>136125</v>
      </c>
      <c r="T42" s="47">
        <f t="shared" ref="T42" si="199">T122+T201</f>
        <v>126825</v>
      </c>
      <c r="U42" s="28">
        <f t="shared" si="12"/>
        <v>1488375</v>
      </c>
      <c r="V42" s="28">
        <f t="shared" si="13"/>
        <v>1467825</v>
      </c>
      <c r="W42" s="42">
        <v>50000</v>
      </c>
      <c r="X42" s="42">
        <v>50000</v>
      </c>
      <c r="Z42" s="8" t="s">
        <v>68</v>
      </c>
      <c r="AA42" s="8" t="s">
        <v>176</v>
      </c>
      <c r="AB42" s="37">
        <v>75000</v>
      </c>
      <c r="AC42" s="38">
        <v>0.1</v>
      </c>
      <c r="AD42" s="44">
        <v>93750</v>
      </c>
      <c r="AE42" s="44">
        <v>112500</v>
      </c>
      <c r="AF42" s="8"/>
    </row>
    <row r="43" spans="1:32" x14ac:dyDescent="0.25">
      <c r="A43" s="8">
        <v>39</v>
      </c>
      <c r="B43" s="14" t="s">
        <v>59</v>
      </c>
      <c r="C43" s="8">
        <v>12</v>
      </c>
      <c r="D43" s="11" t="s">
        <v>57</v>
      </c>
      <c r="E43" s="27">
        <f t="shared" ref="E43:S43" si="200">E123+E202</f>
        <v>123000</v>
      </c>
      <c r="F43" s="27">
        <f t="shared" si="200"/>
        <v>195000</v>
      </c>
      <c r="G43" s="27">
        <f t="shared" si="200"/>
        <v>130000</v>
      </c>
      <c r="H43" s="27">
        <f t="shared" si="200"/>
        <v>130000</v>
      </c>
      <c r="I43" s="27">
        <f t="shared" si="200"/>
        <v>130000</v>
      </c>
      <c r="J43" s="27">
        <f t="shared" si="200"/>
        <v>130000</v>
      </c>
      <c r="K43" s="27">
        <f t="shared" si="200"/>
        <v>130000</v>
      </c>
      <c r="L43" s="27">
        <f t="shared" si="200"/>
        <v>130000</v>
      </c>
      <c r="M43" s="39">
        <f t="shared" si="200"/>
        <v>138000</v>
      </c>
      <c r="N43" s="47">
        <f t="shared" ref="N43" si="201">N123+N202</f>
        <v>130000</v>
      </c>
      <c r="O43" s="39">
        <f t="shared" si="200"/>
        <v>138000</v>
      </c>
      <c r="P43" s="47">
        <f t="shared" ref="P43" si="202">P123+P202</f>
        <v>130000</v>
      </c>
      <c r="Q43" s="39">
        <f t="shared" si="200"/>
        <v>138000</v>
      </c>
      <c r="R43" s="47">
        <f t="shared" ref="R43" si="203">R123+R202</f>
        <v>130000</v>
      </c>
      <c r="S43" s="39">
        <f t="shared" si="200"/>
        <v>151800</v>
      </c>
      <c r="T43" s="47">
        <f t="shared" ref="T43" si="204">T123+T202</f>
        <v>136825</v>
      </c>
      <c r="U43" s="28">
        <f t="shared" si="12"/>
        <v>1663800</v>
      </c>
      <c r="V43" s="28">
        <f t="shared" si="13"/>
        <v>1624825</v>
      </c>
      <c r="W43" s="42">
        <v>50000</v>
      </c>
      <c r="X43" s="42">
        <v>50000</v>
      </c>
      <c r="Z43" s="8" t="s">
        <v>60</v>
      </c>
      <c r="AA43" s="8" t="s">
        <v>176</v>
      </c>
      <c r="AB43" s="37">
        <v>75000</v>
      </c>
      <c r="AC43" s="38">
        <v>0.1</v>
      </c>
      <c r="AD43" s="44">
        <v>93750</v>
      </c>
      <c r="AE43" s="44">
        <v>112500</v>
      </c>
      <c r="AF43" s="8"/>
    </row>
    <row r="44" spans="1:32" x14ac:dyDescent="0.25">
      <c r="A44" s="8">
        <v>40</v>
      </c>
      <c r="B44" s="16" t="s">
        <v>146</v>
      </c>
      <c r="C44" s="8">
        <v>10</v>
      </c>
      <c r="D44" s="9" t="s">
        <v>38</v>
      </c>
      <c r="E44" s="27">
        <f t="shared" ref="E44:S44" si="205">E124+E203</f>
        <v>94000</v>
      </c>
      <c r="F44" s="27">
        <f t="shared" si="205"/>
        <v>167000</v>
      </c>
      <c r="G44" s="27">
        <f t="shared" si="205"/>
        <v>100000</v>
      </c>
      <c r="H44" s="27">
        <f t="shared" si="205"/>
        <v>100000</v>
      </c>
      <c r="I44" s="27">
        <f t="shared" si="205"/>
        <v>100000</v>
      </c>
      <c r="J44" s="27">
        <f t="shared" si="205"/>
        <v>100000</v>
      </c>
      <c r="K44" s="27">
        <f t="shared" si="205"/>
        <v>100000</v>
      </c>
      <c r="L44" s="27">
        <f t="shared" si="205"/>
        <v>100000</v>
      </c>
      <c r="M44" s="39">
        <f t="shared" si="205"/>
        <v>110000</v>
      </c>
      <c r="N44" s="47">
        <f t="shared" ref="N44" si="206">N124+N203</f>
        <v>100000</v>
      </c>
      <c r="O44" s="39">
        <f t="shared" si="205"/>
        <v>110000</v>
      </c>
      <c r="P44" s="47">
        <f t="shared" ref="P44" si="207">P124+P203</f>
        <v>100000</v>
      </c>
      <c r="Q44" s="39">
        <f t="shared" si="205"/>
        <v>110000</v>
      </c>
      <c r="R44" s="47">
        <f t="shared" ref="R44" si="208">R124+R203</f>
        <v>100000</v>
      </c>
      <c r="S44" s="39">
        <f t="shared" si="205"/>
        <v>116000</v>
      </c>
      <c r="T44" s="47">
        <f t="shared" ref="T44" si="209">T124+T203</f>
        <v>106825</v>
      </c>
      <c r="U44" s="28">
        <f t="shared" si="12"/>
        <v>1307000</v>
      </c>
      <c r="V44" s="28">
        <f t="shared" si="13"/>
        <v>1267825</v>
      </c>
      <c r="W44" s="42">
        <v>50000</v>
      </c>
      <c r="X44" s="42">
        <v>50000</v>
      </c>
      <c r="Z44" s="8" t="s">
        <v>141</v>
      </c>
      <c r="AA44" s="8" t="s">
        <v>175</v>
      </c>
      <c r="AB44" s="37">
        <v>70000</v>
      </c>
      <c r="AC44" s="38"/>
      <c r="AD44" s="44">
        <v>87500</v>
      </c>
      <c r="AE44" s="44">
        <v>105000</v>
      </c>
      <c r="AF44" s="8"/>
    </row>
    <row r="45" spans="1:32" x14ac:dyDescent="0.25">
      <c r="A45" s="8">
        <v>41</v>
      </c>
      <c r="B45" s="16" t="s">
        <v>146</v>
      </c>
      <c r="C45" s="31">
        <v>10</v>
      </c>
      <c r="D45" s="13" t="s">
        <v>39</v>
      </c>
      <c r="E45" s="27">
        <f t="shared" ref="E45:S45" si="210">E125+E204</f>
        <v>94000</v>
      </c>
      <c r="F45" s="27">
        <f t="shared" si="210"/>
        <v>167000</v>
      </c>
      <c r="G45" s="27">
        <f t="shared" si="210"/>
        <v>100000</v>
      </c>
      <c r="H45" s="27">
        <f t="shared" si="210"/>
        <v>100000</v>
      </c>
      <c r="I45" s="27">
        <f t="shared" si="210"/>
        <v>100000</v>
      </c>
      <c r="J45" s="27">
        <f t="shared" si="210"/>
        <v>100000</v>
      </c>
      <c r="K45" s="27">
        <f t="shared" si="210"/>
        <v>100000</v>
      </c>
      <c r="L45" s="27">
        <f t="shared" si="210"/>
        <v>100000</v>
      </c>
      <c r="M45" s="39">
        <f t="shared" si="210"/>
        <v>110000</v>
      </c>
      <c r="N45" s="47">
        <f t="shared" ref="N45" si="211">N125+N204</f>
        <v>100000</v>
      </c>
      <c r="O45" s="39">
        <f t="shared" si="210"/>
        <v>110000</v>
      </c>
      <c r="P45" s="47">
        <f t="shared" ref="P45" si="212">P125+P204</f>
        <v>100000</v>
      </c>
      <c r="Q45" s="39">
        <f t="shared" si="210"/>
        <v>110000</v>
      </c>
      <c r="R45" s="47">
        <f t="shared" ref="R45" si="213">R125+R204</f>
        <v>100000</v>
      </c>
      <c r="S45" s="39">
        <f t="shared" si="210"/>
        <v>116000</v>
      </c>
      <c r="T45" s="47">
        <f t="shared" ref="T45" si="214">T125+T204</f>
        <v>106825</v>
      </c>
      <c r="U45" s="28">
        <f t="shared" si="12"/>
        <v>1307000</v>
      </c>
      <c r="V45" s="28">
        <f t="shared" si="13"/>
        <v>1267825</v>
      </c>
      <c r="W45" s="42">
        <v>50000</v>
      </c>
      <c r="X45" s="42">
        <v>50000</v>
      </c>
      <c r="Z45" s="8" t="s">
        <v>139</v>
      </c>
      <c r="AA45" s="8" t="s">
        <v>171</v>
      </c>
      <c r="AB45" s="37">
        <v>30000</v>
      </c>
      <c r="AC45" s="40">
        <v>80000</v>
      </c>
      <c r="AD45" s="44">
        <v>37500.000000000007</v>
      </c>
      <c r="AE45" s="44">
        <v>45000.000000000007</v>
      </c>
      <c r="AF45" s="8"/>
    </row>
    <row r="46" spans="1:32" x14ac:dyDescent="0.25">
      <c r="A46" s="8">
        <v>42</v>
      </c>
      <c r="B46" s="15" t="s">
        <v>68</v>
      </c>
      <c r="C46" s="8">
        <v>10</v>
      </c>
      <c r="D46" s="11" t="s">
        <v>58</v>
      </c>
      <c r="E46" s="27">
        <f t="shared" ref="E46:S46" si="215">E126+E205</f>
        <v>94000</v>
      </c>
      <c r="F46" s="27">
        <f t="shared" si="215"/>
        <v>167000</v>
      </c>
      <c r="G46" s="27">
        <f t="shared" si="215"/>
        <v>100000</v>
      </c>
      <c r="H46" s="27">
        <f t="shared" si="215"/>
        <v>100000</v>
      </c>
      <c r="I46" s="27">
        <f t="shared" si="215"/>
        <v>100000</v>
      </c>
      <c r="J46" s="27">
        <f t="shared" si="215"/>
        <v>100000</v>
      </c>
      <c r="K46" s="27">
        <f t="shared" si="215"/>
        <v>100000</v>
      </c>
      <c r="L46" s="27">
        <f t="shared" si="215"/>
        <v>100000</v>
      </c>
      <c r="M46" s="39">
        <f t="shared" si="215"/>
        <v>103125</v>
      </c>
      <c r="N46" s="47">
        <f t="shared" ref="N46" si="216">N126+N205</f>
        <v>100000</v>
      </c>
      <c r="O46" s="39">
        <f t="shared" si="215"/>
        <v>103125</v>
      </c>
      <c r="P46" s="47">
        <f t="shared" ref="P46" si="217">P126+P205</f>
        <v>100000</v>
      </c>
      <c r="Q46" s="39">
        <f t="shared" si="215"/>
        <v>103125</v>
      </c>
      <c r="R46" s="47">
        <f t="shared" ref="R46" si="218">R126+R205</f>
        <v>100000</v>
      </c>
      <c r="S46" s="39">
        <f t="shared" si="215"/>
        <v>113437.5</v>
      </c>
      <c r="T46" s="47">
        <f t="shared" ref="T46" si="219">T126+T205</f>
        <v>106825</v>
      </c>
      <c r="U46" s="28">
        <f t="shared" si="12"/>
        <v>1283812.5</v>
      </c>
      <c r="V46" s="28">
        <f t="shared" si="13"/>
        <v>1267825</v>
      </c>
      <c r="W46" s="42">
        <v>50000</v>
      </c>
      <c r="X46" s="42">
        <v>50000</v>
      </c>
      <c r="Z46" s="8" t="s">
        <v>140</v>
      </c>
      <c r="AA46" s="8" t="s">
        <v>176</v>
      </c>
      <c r="AB46" s="37">
        <v>75000</v>
      </c>
      <c r="AC46" s="38">
        <v>0.1</v>
      </c>
      <c r="AD46" s="44">
        <v>93750</v>
      </c>
      <c r="AE46" s="44">
        <v>112500</v>
      </c>
      <c r="AF46" s="8"/>
    </row>
    <row r="47" spans="1:32" x14ac:dyDescent="0.25">
      <c r="A47" s="8">
        <v>43</v>
      </c>
      <c r="B47" s="16" t="s">
        <v>146</v>
      </c>
      <c r="C47" s="8">
        <v>10</v>
      </c>
      <c r="D47" s="9" t="s">
        <v>40</v>
      </c>
      <c r="E47" s="27">
        <f t="shared" ref="E47:S47" si="220">E127+E206</f>
        <v>94000</v>
      </c>
      <c r="F47" s="27">
        <f t="shared" si="220"/>
        <v>167000</v>
      </c>
      <c r="G47" s="27">
        <f t="shared" si="220"/>
        <v>100000</v>
      </c>
      <c r="H47" s="27">
        <f t="shared" si="220"/>
        <v>100000</v>
      </c>
      <c r="I47" s="27">
        <f t="shared" si="220"/>
        <v>100000</v>
      </c>
      <c r="J47" s="27">
        <f t="shared" si="220"/>
        <v>100000</v>
      </c>
      <c r="K47" s="27">
        <f t="shared" si="220"/>
        <v>100000</v>
      </c>
      <c r="L47" s="27">
        <f t="shared" si="220"/>
        <v>100000</v>
      </c>
      <c r="M47" s="39">
        <f t="shared" si="220"/>
        <v>110000</v>
      </c>
      <c r="N47" s="47">
        <f t="shared" ref="N47" si="221">N127+N206</f>
        <v>100000</v>
      </c>
      <c r="O47" s="39">
        <f t="shared" si="220"/>
        <v>110000</v>
      </c>
      <c r="P47" s="47">
        <f t="shared" ref="P47" si="222">P127+P206</f>
        <v>100000</v>
      </c>
      <c r="Q47" s="39">
        <f t="shared" si="220"/>
        <v>110000</v>
      </c>
      <c r="R47" s="47">
        <f t="shared" ref="R47" si="223">R127+R206</f>
        <v>100000</v>
      </c>
      <c r="S47" s="39">
        <f t="shared" si="220"/>
        <v>116000</v>
      </c>
      <c r="T47" s="47">
        <f t="shared" ref="T47" si="224">T127+T206</f>
        <v>106825</v>
      </c>
      <c r="U47" s="28">
        <f t="shared" si="12"/>
        <v>1307000</v>
      </c>
      <c r="V47" s="28">
        <f t="shared" si="13"/>
        <v>1267825</v>
      </c>
      <c r="W47" s="42">
        <v>50000</v>
      </c>
      <c r="X47" s="42">
        <v>50000</v>
      </c>
      <c r="Z47" s="8" t="s">
        <v>147</v>
      </c>
      <c r="AA47" s="8" t="s">
        <v>88</v>
      </c>
      <c r="AB47" s="37">
        <v>70000</v>
      </c>
      <c r="AC47" s="38"/>
      <c r="AD47" s="44"/>
      <c r="AE47" s="44"/>
      <c r="AF47" s="8"/>
    </row>
    <row r="48" spans="1:32" x14ac:dyDescent="0.25">
      <c r="A48" s="8">
        <v>44</v>
      </c>
      <c r="B48" s="32" t="s">
        <v>152</v>
      </c>
      <c r="C48" s="8">
        <v>8</v>
      </c>
      <c r="D48" s="9" t="s">
        <v>156</v>
      </c>
      <c r="E48" s="27">
        <f t="shared" ref="E48:S48" si="225">E128+E207</f>
        <v>0</v>
      </c>
      <c r="F48" s="27">
        <f t="shared" si="225"/>
        <v>60000</v>
      </c>
      <c r="G48" s="27">
        <f t="shared" si="225"/>
        <v>120000</v>
      </c>
      <c r="H48" s="27">
        <f t="shared" si="225"/>
        <v>120000</v>
      </c>
      <c r="I48" s="27">
        <f t="shared" si="225"/>
        <v>150000</v>
      </c>
      <c r="J48" s="27">
        <f t="shared" si="225"/>
        <v>180000</v>
      </c>
      <c r="K48" s="27">
        <f t="shared" si="225"/>
        <v>180000</v>
      </c>
      <c r="L48" s="27">
        <f t="shared" si="225"/>
        <v>180000</v>
      </c>
      <c r="M48" s="39">
        <f t="shared" si="225"/>
        <v>180000</v>
      </c>
      <c r="N48" s="47">
        <f t="shared" ref="N48" si="226">N128+N207</f>
        <v>180000</v>
      </c>
      <c r="O48" s="39">
        <f t="shared" si="225"/>
        <v>180000</v>
      </c>
      <c r="P48" s="47">
        <f t="shared" ref="P48" si="227">P128+P207</f>
        <v>180000</v>
      </c>
      <c r="Q48" s="39">
        <f t="shared" si="225"/>
        <v>180000</v>
      </c>
      <c r="R48" s="47">
        <f t="shared" ref="R48" si="228">R128+R207</f>
        <v>180000</v>
      </c>
      <c r="S48" s="39">
        <f t="shared" si="225"/>
        <v>195000</v>
      </c>
      <c r="T48" s="47">
        <f t="shared" ref="T48" si="229">T128+T207</f>
        <v>195000</v>
      </c>
      <c r="U48" s="28">
        <f t="shared" si="12"/>
        <v>1725000</v>
      </c>
      <c r="V48" s="28">
        <f t="shared" si="13"/>
        <v>1725000</v>
      </c>
      <c r="W48" s="42">
        <v>100000</v>
      </c>
      <c r="X48" s="42">
        <v>100000</v>
      </c>
      <c r="Z48" s="8" t="s">
        <v>148</v>
      </c>
      <c r="AA48" s="8" t="s">
        <v>88</v>
      </c>
      <c r="AB48" s="37">
        <v>100000</v>
      </c>
      <c r="AC48" s="38"/>
      <c r="AD48" s="44"/>
      <c r="AE48" s="44"/>
      <c r="AF48" s="8"/>
    </row>
    <row r="49" spans="1:32" x14ac:dyDescent="0.25">
      <c r="A49" s="8">
        <v>45</v>
      </c>
      <c r="B49" s="16" t="s">
        <v>139</v>
      </c>
      <c r="C49" s="8">
        <v>10</v>
      </c>
      <c r="D49" s="57"/>
      <c r="E49" s="27">
        <f t="shared" ref="E49:S49" si="230">E129+E208</f>
        <v>0</v>
      </c>
      <c r="F49" s="27">
        <f t="shared" si="230"/>
        <v>0</v>
      </c>
      <c r="G49" s="27">
        <f t="shared" si="230"/>
        <v>100000</v>
      </c>
      <c r="H49" s="27">
        <f t="shared" si="230"/>
        <v>100000</v>
      </c>
      <c r="I49" s="27">
        <f t="shared" si="230"/>
        <v>100000</v>
      </c>
      <c r="J49" s="27">
        <f t="shared" si="230"/>
        <v>100000</v>
      </c>
      <c r="K49" s="27">
        <f t="shared" si="230"/>
        <v>100000</v>
      </c>
      <c r="L49" s="27">
        <f t="shared" si="230"/>
        <v>100000</v>
      </c>
      <c r="M49" s="39">
        <f t="shared" si="230"/>
        <v>110000</v>
      </c>
      <c r="N49" s="47">
        <f t="shared" ref="N49" si="231">N129+N208</f>
        <v>100000</v>
      </c>
      <c r="O49" s="39">
        <f t="shared" si="230"/>
        <v>110000</v>
      </c>
      <c r="P49" s="47">
        <f t="shared" ref="P49" si="232">P129+P208</f>
        <v>100000</v>
      </c>
      <c r="Q49" s="39">
        <f t="shared" si="230"/>
        <v>110000</v>
      </c>
      <c r="R49" s="47">
        <f t="shared" ref="R49" si="233">R129+R208</f>
        <v>100000</v>
      </c>
      <c r="S49" s="39">
        <f t="shared" si="230"/>
        <v>116000</v>
      </c>
      <c r="T49" s="47">
        <f t="shared" ref="T49" si="234">T129+T208</f>
        <v>106825</v>
      </c>
      <c r="U49" s="28">
        <f t="shared" si="12"/>
        <v>1046000</v>
      </c>
      <c r="V49" s="28">
        <f t="shared" si="13"/>
        <v>1006825</v>
      </c>
      <c r="W49" s="42">
        <v>50000</v>
      </c>
      <c r="X49" s="42">
        <v>50000</v>
      </c>
      <c r="Z49" s="8" t="s">
        <v>155</v>
      </c>
      <c r="AA49" s="8" t="s">
        <v>173</v>
      </c>
      <c r="AB49" s="37">
        <v>150000</v>
      </c>
      <c r="AC49" s="40">
        <v>30000</v>
      </c>
      <c r="AD49" s="44"/>
      <c r="AE49" s="44"/>
      <c r="AF49" s="8"/>
    </row>
    <row r="50" spans="1:32" x14ac:dyDescent="0.25">
      <c r="A50" s="8">
        <v>46</v>
      </c>
      <c r="B50" s="16" t="s">
        <v>139</v>
      </c>
      <c r="C50" s="8">
        <v>10</v>
      </c>
      <c r="D50" s="55"/>
      <c r="E50" s="27">
        <f t="shared" ref="E50:S50" si="235">E130+E209</f>
        <v>0</v>
      </c>
      <c r="F50" s="27">
        <f t="shared" si="235"/>
        <v>0</v>
      </c>
      <c r="G50" s="27">
        <f t="shared" si="235"/>
        <v>100000</v>
      </c>
      <c r="H50" s="27">
        <f t="shared" si="235"/>
        <v>100000</v>
      </c>
      <c r="I50" s="27">
        <f t="shared" si="235"/>
        <v>100000</v>
      </c>
      <c r="J50" s="27">
        <f t="shared" si="235"/>
        <v>100000</v>
      </c>
      <c r="K50" s="27">
        <f t="shared" si="235"/>
        <v>100000</v>
      </c>
      <c r="L50" s="27">
        <f t="shared" si="235"/>
        <v>100000</v>
      </c>
      <c r="M50" s="39">
        <f t="shared" si="235"/>
        <v>110000</v>
      </c>
      <c r="N50" s="47">
        <f t="shared" ref="N50" si="236">N130+N209</f>
        <v>100000</v>
      </c>
      <c r="O50" s="39">
        <f t="shared" si="235"/>
        <v>110000</v>
      </c>
      <c r="P50" s="47">
        <f t="shared" ref="P50" si="237">P130+P209</f>
        <v>100000</v>
      </c>
      <c r="Q50" s="39">
        <f t="shared" si="235"/>
        <v>110000</v>
      </c>
      <c r="R50" s="47">
        <f t="shared" ref="R50" si="238">R130+R209</f>
        <v>100000</v>
      </c>
      <c r="S50" s="39">
        <f t="shared" si="235"/>
        <v>116000</v>
      </c>
      <c r="T50" s="47">
        <f t="shared" ref="T50" si="239">T130+T209</f>
        <v>106825</v>
      </c>
      <c r="U50" s="28">
        <f t="shared" si="12"/>
        <v>1046000</v>
      </c>
      <c r="V50" s="28">
        <f t="shared" si="13"/>
        <v>1006825</v>
      </c>
      <c r="W50" s="42">
        <v>50000</v>
      </c>
      <c r="X50" s="42">
        <v>50000</v>
      </c>
      <c r="Z50" s="8" t="s">
        <v>151</v>
      </c>
      <c r="AA50" s="8" t="s">
        <v>173</v>
      </c>
      <c r="AB50" s="37">
        <v>150000</v>
      </c>
      <c r="AC50" s="40">
        <v>50000</v>
      </c>
      <c r="AD50" s="44"/>
      <c r="AE50" s="44"/>
      <c r="AF50" s="8"/>
    </row>
    <row r="51" spans="1:32" x14ac:dyDescent="0.25">
      <c r="A51" s="8">
        <v>47</v>
      </c>
      <c r="B51" s="16" t="s">
        <v>139</v>
      </c>
      <c r="C51" s="8">
        <v>10</v>
      </c>
      <c r="D51" s="55"/>
      <c r="E51" s="27">
        <f t="shared" ref="E51:S51" si="240">E131+E210</f>
        <v>0</v>
      </c>
      <c r="F51" s="27">
        <f t="shared" si="240"/>
        <v>0</v>
      </c>
      <c r="G51" s="27">
        <f t="shared" si="240"/>
        <v>100000</v>
      </c>
      <c r="H51" s="27">
        <f t="shared" si="240"/>
        <v>100000</v>
      </c>
      <c r="I51" s="27">
        <f t="shared" si="240"/>
        <v>100000</v>
      </c>
      <c r="J51" s="27">
        <f t="shared" si="240"/>
        <v>100000</v>
      </c>
      <c r="K51" s="27">
        <f t="shared" si="240"/>
        <v>100000</v>
      </c>
      <c r="L51" s="27">
        <f t="shared" si="240"/>
        <v>100000</v>
      </c>
      <c r="M51" s="39">
        <f t="shared" si="240"/>
        <v>110000</v>
      </c>
      <c r="N51" s="47">
        <f t="shared" ref="N51" si="241">N131+N210</f>
        <v>100000</v>
      </c>
      <c r="O51" s="39">
        <f t="shared" si="240"/>
        <v>110000</v>
      </c>
      <c r="P51" s="47">
        <f t="shared" ref="P51" si="242">P131+P210</f>
        <v>100000</v>
      </c>
      <c r="Q51" s="39">
        <f t="shared" si="240"/>
        <v>110000</v>
      </c>
      <c r="R51" s="47">
        <f t="shared" ref="R51" si="243">R131+R210</f>
        <v>100000</v>
      </c>
      <c r="S51" s="39">
        <f t="shared" si="240"/>
        <v>116000</v>
      </c>
      <c r="T51" s="47">
        <f t="shared" ref="T51" si="244">T131+T210</f>
        <v>106825</v>
      </c>
      <c r="U51" s="28">
        <f t="shared" si="12"/>
        <v>1046000</v>
      </c>
      <c r="V51" s="28">
        <f t="shared" si="13"/>
        <v>1006825</v>
      </c>
      <c r="W51" s="42">
        <v>50000</v>
      </c>
      <c r="X51" s="42">
        <v>50000</v>
      </c>
      <c r="Z51" s="8" t="s">
        <v>152</v>
      </c>
      <c r="AA51" s="8" t="s">
        <v>173</v>
      </c>
      <c r="AB51" s="37">
        <v>150000</v>
      </c>
      <c r="AC51" s="40">
        <v>30000</v>
      </c>
      <c r="AD51" s="44"/>
      <c r="AE51" s="44"/>
      <c r="AF51" s="8"/>
    </row>
    <row r="52" spans="1:32" x14ac:dyDescent="0.25">
      <c r="A52" s="8">
        <v>48</v>
      </c>
      <c r="B52" s="16" t="s">
        <v>139</v>
      </c>
      <c r="C52" s="8">
        <v>10</v>
      </c>
      <c r="D52" s="55"/>
      <c r="E52" s="27">
        <f t="shared" ref="E52:S52" si="245">E132+E211</f>
        <v>0</v>
      </c>
      <c r="F52" s="27">
        <f t="shared" si="245"/>
        <v>0</v>
      </c>
      <c r="G52" s="27">
        <f t="shared" si="245"/>
        <v>100000</v>
      </c>
      <c r="H52" s="27">
        <f t="shared" si="245"/>
        <v>100000</v>
      </c>
      <c r="I52" s="27">
        <f t="shared" si="245"/>
        <v>100000</v>
      </c>
      <c r="J52" s="27">
        <f t="shared" si="245"/>
        <v>100000</v>
      </c>
      <c r="K52" s="27">
        <f t="shared" si="245"/>
        <v>100000</v>
      </c>
      <c r="L52" s="27">
        <f t="shared" si="245"/>
        <v>100000</v>
      </c>
      <c r="M52" s="39">
        <f>M132+M211</f>
        <v>0</v>
      </c>
      <c r="N52" s="47">
        <f t="shared" ref="N52" si="246">N132+N211</f>
        <v>100000</v>
      </c>
      <c r="O52" s="39">
        <f t="shared" si="245"/>
        <v>0</v>
      </c>
      <c r="P52" s="47">
        <f t="shared" ref="P52" si="247">P132+P211</f>
        <v>100000</v>
      </c>
      <c r="Q52" s="39">
        <f t="shared" si="245"/>
        <v>0</v>
      </c>
      <c r="R52" s="47">
        <f t="shared" ref="R52" si="248">R132+R211</f>
        <v>100000</v>
      </c>
      <c r="S52" s="39">
        <f t="shared" si="245"/>
        <v>0</v>
      </c>
      <c r="T52" s="47">
        <f t="shared" ref="T52" si="249">T132+T211</f>
        <v>106825</v>
      </c>
      <c r="U52" s="28">
        <f t="shared" si="12"/>
        <v>600000</v>
      </c>
      <c r="V52" s="28">
        <f t="shared" si="13"/>
        <v>1006825</v>
      </c>
      <c r="W52" s="42"/>
      <c r="X52" s="42">
        <v>50000</v>
      </c>
      <c r="Z52" s="8" t="s">
        <v>168</v>
      </c>
      <c r="AA52" s="8" t="s">
        <v>174</v>
      </c>
      <c r="AB52" s="37">
        <v>75000</v>
      </c>
      <c r="AC52" s="38">
        <v>0.1</v>
      </c>
      <c r="AD52" s="44">
        <v>93750</v>
      </c>
      <c r="AE52" s="44">
        <v>112500</v>
      </c>
      <c r="AF52" s="8"/>
    </row>
    <row r="53" spans="1:32" x14ac:dyDescent="0.25">
      <c r="A53" s="8">
        <v>49</v>
      </c>
      <c r="B53" s="16" t="s">
        <v>139</v>
      </c>
      <c r="C53" s="8">
        <v>10</v>
      </c>
      <c r="D53" s="55"/>
      <c r="E53" s="27">
        <f t="shared" ref="E53:S53" si="250">E133+E212</f>
        <v>0</v>
      </c>
      <c r="F53" s="27">
        <f t="shared" si="250"/>
        <v>0</v>
      </c>
      <c r="G53" s="27">
        <f t="shared" si="250"/>
        <v>100000</v>
      </c>
      <c r="H53" s="27">
        <f t="shared" si="250"/>
        <v>100000</v>
      </c>
      <c r="I53" s="27">
        <f t="shared" si="250"/>
        <v>100000</v>
      </c>
      <c r="J53" s="27">
        <f t="shared" si="250"/>
        <v>100000</v>
      </c>
      <c r="K53" s="27">
        <f t="shared" si="250"/>
        <v>100000</v>
      </c>
      <c r="L53" s="27">
        <f t="shared" si="250"/>
        <v>100000</v>
      </c>
      <c r="M53" s="39">
        <f t="shared" si="250"/>
        <v>0</v>
      </c>
      <c r="N53" s="47">
        <f t="shared" ref="N53" si="251">N133+N212</f>
        <v>100000</v>
      </c>
      <c r="O53" s="39">
        <f t="shared" si="250"/>
        <v>0</v>
      </c>
      <c r="P53" s="47">
        <f t="shared" ref="P53" si="252">P133+P212</f>
        <v>100000</v>
      </c>
      <c r="Q53" s="39">
        <f t="shared" si="250"/>
        <v>0</v>
      </c>
      <c r="R53" s="47">
        <f t="shared" ref="R53" si="253">R133+R212</f>
        <v>100000</v>
      </c>
      <c r="S53" s="39">
        <f t="shared" si="250"/>
        <v>0</v>
      </c>
      <c r="T53" s="47">
        <f t="shared" ref="T53" si="254">T133+T212</f>
        <v>106825</v>
      </c>
      <c r="U53" s="28">
        <f t="shared" si="12"/>
        <v>600000</v>
      </c>
      <c r="V53" s="28">
        <f t="shared" si="13"/>
        <v>1006825</v>
      </c>
      <c r="W53" s="42"/>
      <c r="X53" s="42">
        <v>50000</v>
      </c>
      <c r="Z53" s="8" t="s">
        <v>169</v>
      </c>
      <c r="AA53" s="8" t="s">
        <v>174</v>
      </c>
      <c r="AB53" s="37">
        <v>90000</v>
      </c>
      <c r="AC53" s="38">
        <v>0.1</v>
      </c>
      <c r="AD53" s="44"/>
      <c r="AE53" s="44"/>
      <c r="AF53" s="8"/>
    </row>
    <row r="54" spans="1:32" x14ac:dyDescent="0.25">
      <c r="A54" s="8">
        <v>50</v>
      </c>
      <c r="B54" s="16" t="s">
        <v>139</v>
      </c>
      <c r="C54" s="8">
        <v>10</v>
      </c>
      <c r="D54" s="55"/>
      <c r="E54" s="27">
        <f t="shared" ref="E54:S54" si="255">E134+E213</f>
        <v>0</v>
      </c>
      <c r="F54" s="27">
        <f t="shared" si="255"/>
        <v>0</v>
      </c>
      <c r="G54" s="27">
        <f t="shared" si="255"/>
        <v>100000</v>
      </c>
      <c r="H54" s="27">
        <f t="shared" si="255"/>
        <v>100000</v>
      </c>
      <c r="I54" s="27">
        <f t="shared" si="255"/>
        <v>100000</v>
      </c>
      <c r="J54" s="27">
        <f t="shared" si="255"/>
        <v>100000</v>
      </c>
      <c r="K54" s="27">
        <f t="shared" si="255"/>
        <v>100000</v>
      </c>
      <c r="L54" s="27">
        <f t="shared" si="255"/>
        <v>100000</v>
      </c>
      <c r="M54" s="39">
        <f t="shared" si="255"/>
        <v>0</v>
      </c>
      <c r="N54" s="47">
        <f t="shared" ref="N54" si="256">N134+N213</f>
        <v>100000</v>
      </c>
      <c r="O54" s="39">
        <f t="shared" si="255"/>
        <v>0</v>
      </c>
      <c r="P54" s="47">
        <f t="shared" ref="P54" si="257">P134+P213</f>
        <v>100000</v>
      </c>
      <c r="Q54" s="39">
        <f t="shared" si="255"/>
        <v>0</v>
      </c>
      <c r="R54" s="47">
        <f t="shared" ref="R54" si="258">R134+R213</f>
        <v>100000</v>
      </c>
      <c r="S54" s="39">
        <f t="shared" si="255"/>
        <v>0</v>
      </c>
      <c r="T54" s="47">
        <f t="shared" ref="T54" si="259">T134+T213</f>
        <v>106825</v>
      </c>
      <c r="U54" s="28">
        <f t="shared" si="12"/>
        <v>600000</v>
      </c>
      <c r="V54" s="28">
        <f t="shared" si="13"/>
        <v>1006825</v>
      </c>
      <c r="W54" s="42"/>
      <c r="X54" s="42">
        <v>50000</v>
      </c>
    </row>
    <row r="55" spans="1:32" x14ac:dyDescent="0.25">
      <c r="A55" s="8">
        <v>51</v>
      </c>
      <c r="B55" s="16" t="s">
        <v>139</v>
      </c>
      <c r="C55" s="8">
        <v>10</v>
      </c>
      <c r="D55" s="55"/>
      <c r="E55" s="27">
        <f t="shared" ref="E55:S55" si="260">E135+E214</f>
        <v>0</v>
      </c>
      <c r="F55" s="27">
        <f t="shared" si="260"/>
        <v>0</v>
      </c>
      <c r="G55" s="27">
        <f t="shared" si="260"/>
        <v>100000</v>
      </c>
      <c r="H55" s="27">
        <f t="shared" si="260"/>
        <v>100000</v>
      </c>
      <c r="I55" s="27">
        <f t="shared" si="260"/>
        <v>100000</v>
      </c>
      <c r="J55" s="27">
        <f t="shared" si="260"/>
        <v>100000</v>
      </c>
      <c r="K55" s="27">
        <f t="shared" si="260"/>
        <v>100000</v>
      </c>
      <c r="L55" s="27">
        <f t="shared" si="260"/>
        <v>100000</v>
      </c>
      <c r="M55" s="39">
        <f t="shared" si="260"/>
        <v>0</v>
      </c>
      <c r="N55" s="47">
        <f t="shared" ref="N55" si="261">N135+N214</f>
        <v>100000</v>
      </c>
      <c r="O55" s="39">
        <f t="shared" si="260"/>
        <v>0</v>
      </c>
      <c r="P55" s="47">
        <f t="shared" ref="P55" si="262">P135+P214</f>
        <v>100000</v>
      </c>
      <c r="Q55" s="39">
        <f t="shared" si="260"/>
        <v>0</v>
      </c>
      <c r="R55" s="47">
        <f t="shared" ref="R55" si="263">R135+R214</f>
        <v>100000</v>
      </c>
      <c r="S55" s="39">
        <f t="shared" si="260"/>
        <v>0</v>
      </c>
      <c r="T55" s="47">
        <f t="shared" ref="T55" si="264">T135+T214</f>
        <v>106825</v>
      </c>
      <c r="U55" s="28">
        <f t="shared" si="12"/>
        <v>600000</v>
      </c>
      <c r="V55" s="28">
        <f t="shared" si="13"/>
        <v>1006825</v>
      </c>
      <c r="W55" s="42"/>
      <c r="X55" s="42">
        <v>50000</v>
      </c>
    </row>
    <row r="56" spans="1:32" x14ac:dyDescent="0.25">
      <c r="A56" s="8">
        <v>52</v>
      </c>
      <c r="B56" s="16" t="s">
        <v>139</v>
      </c>
      <c r="C56" s="8">
        <v>10</v>
      </c>
      <c r="D56" s="55"/>
      <c r="E56" s="27">
        <f t="shared" ref="E56:S56" si="265">E136+E215</f>
        <v>0</v>
      </c>
      <c r="F56" s="27">
        <f t="shared" si="265"/>
        <v>0</v>
      </c>
      <c r="G56" s="27">
        <f t="shared" si="265"/>
        <v>100000</v>
      </c>
      <c r="H56" s="27">
        <f t="shared" si="265"/>
        <v>100000</v>
      </c>
      <c r="I56" s="27">
        <f t="shared" si="265"/>
        <v>100000</v>
      </c>
      <c r="J56" s="27">
        <f t="shared" si="265"/>
        <v>100000</v>
      </c>
      <c r="K56" s="27">
        <f t="shared" si="265"/>
        <v>100000</v>
      </c>
      <c r="L56" s="27">
        <f t="shared" si="265"/>
        <v>100000</v>
      </c>
      <c r="M56" s="39">
        <f t="shared" si="265"/>
        <v>0</v>
      </c>
      <c r="N56" s="47">
        <f t="shared" ref="N56" si="266">N136+N215</f>
        <v>100000</v>
      </c>
      <c r="O56" s="39">
        <f t="shared" si="265"/>
        <v>0</v>
      </c>
      <c r="P56" s="47">
        <f t="shared" ref="P56" si="267">P136+P215</f>
        <v>100000</v>
      </c>
      <c r="Q56" s="39">
        <f t="shared" si="265"/>
        <v>0</v>
      </c>
      <c r="R56" s="47">
        <f t="shared" ref="R56" si="268">R136+R215</f>
        <v>100000</v>
      </c>
      <c r="S56" s="39">
        <f t="shared" si="265"/>
        <v>0</v>
      </c>
      <c r="T56" s="47">
        <f t="shared" ref="T56" si="269">T136+T215</f>
        <v>106825</v>
      </c>
      <c r="U56" s="28">
        <f t="shared" si="12"/>
        <v>600000</v>
      </c>
      <c r="V56" s="28">
        <f t="shared" si="13"/>
        <v>1006825</v>
      </c>
      <c r="W56" s="42"/>
      <c r="X56" s="42">
        <v>50000</v>
      </c>
    </row>
    <row r="57" spans="1:32" x14ac:dyDescent="0.25">
      <c r="A57" s="8">
        <v>53</v>
      </c>
      <c r="B57" s="16" t="s">
        <v>139</v>
      </c>
      <c r="C57" s="8">
        <v>10</v>
      </c>
      <c r="D57" s="11"/>
      <c r="E57" s="27">
        <f t="shared" ref="E57:F57" si="270">E137+E216</f>
        <v>0</v>
      </c>
      <c r="F57" s="27">
        <f t="shared" si="270"/>
        <v>0</v>
      </c>
      <c r="G57" s="27">
        <f t="shared" ref="G57:M57" si="271">G137+G216</f>
        <v>0</v>
      </c>
      <c r="H57" s="27">
        <f t="shared" si="271"/>
        <v>0</v>
      </c>
      <c r="I57" s="27">
        <f t="shared" si="271"/>
        <v>0</v>
      </c>
      <c r="J57" s="27">
        <f t="shared" si="271"/>
        <v>0</v>
      </c>
      <c r="K57" s="27">
        <f t="shared" si="271"/>
        <v>0</v>
      </c>
      <c r="L57" s="27">
        <f t="shared" si="271"/>
        <v>0</v>
      </c>
      <c r="M57" s="39">
        <f t="shared" si="271"/>
        <v>0</v>
      </c>
      <c r="N57" s="47">
        <f t="shared" ref="N57:O57" si="272">N137+N216</f>
        <v>100000</v>
      </c>
      <c r="O57" s="39">
        <f t="shared" si="272"/>
        <v>0</v>
      </c>
      <c r="P57" s="47">
        <f t="shared" ref="P57:Q57" si="273">P137+P216</f>
        <v>100000</v>
      </c>
      <c r="Q57" s="39">
        <f t="shared" si="273"/>
        <v>0</v>
      </c>
      <c r="R57" s="47">
        <f t="shared" ref="R57:S57" si="274">R137+R216</f>
        <v>100000</v>
      </c>
      <c r="S57" s="39">
        <f t="shared" si="274"/>
        <v>0</v>
      </c>
      <c r="T57" s="47">
        <f t="shared" ref="T57" si="275">T137+T216</f>
        <v>106825</v>
      </c>
      <c r="U57" s="28">
        <f t="shared" si="12"/>
        <v>0</v>
      </c>
      <c r="V57" s="28">
        <f t="shared" si="13"/>
        <v>406825</v>
      </c>
      <c r="W57" s="42"/>
      <c r="X57" s="42">
        <v>50000</v>
      </c>
    </row>
    <row r="58" spans="1:32" x14ac:dyDescent="0.25">
      <c r="A58" s="8">
        <v>54</v>
      </c>
      <c r="B58" s="16" t="s">
        <v>139</v>
      </c>
      <c r="C58" s="8">
        <v>10</v>
      </c>
      <c r="D58" s="11"/>
      <c r="E58" s="27">
        <f t="shared" ref="E58:M58" si="276">E138+E217</f>
        <v>0</v>
      </c>
      <c r="F58" s="27">
        <f t="shared" si="276"/>
        <v>0</v>
      </c>
      <c r="G58" s="27">
        <f t="shared" si="276"/>
        <v>0</v>
      </c>
      <c r="H58" s="27">
        <f t="shared" si="276"/>
        <v>0</v>
      </c>
      <c r="I58" s="27">
        <f t="shared" si="276"/>
        <v>0</v>
      </c>
      <c r="J58" s="27">
        <f t="shared" si="276"/>
        <v>0</v>
      </c>
      <c r="K58" s="27">
        <f t="shared" si="276"/>
        <v>0</v>
      </c>
      <c r="L58" s="27">
        <f t="shared" si="276"/>
        <v>0</v>
      </c>
      <c r="M58" s="39">
        <f t="shared" si="276"/>
        <v>0</v>
      </c>
      <c r="N58" s="47">
        <f t="shared" ref="N58:O58" si="277">N138+N217</f>
        <v>100000</v>
      </c>
      <c r="O58" s="39">
        <f t="shared" si="277"/>
        <v>0</v>
      </c>
      <c r="P58" s="47">
        <f t="shared" ref="P58:Q58" si="278">P138+P217</f>
        <v>100000</v>
      </c>
      <c r="Q58" s="39">
        <f t="shared" si="278"/>
        <v>0</v>
      </c>
      <c r="R58" s="47">
        <f t="shared" ref="R58:S58" si="279">R138+R217</f>
        <v>100000</v>
      </c>
      <c r="S58" s="39">
        <f t="shared" si="279"/>
        <v>0</v>
      </c>
      <c r="T58" s="47">
        <f t="shared" ref="T58" si="280">T138+T217</f>
        <v>106825</v>
      </c>
      <c r="U58" s="28">
        <f t="shared" si="12"/>
        <v>0</v>
      </c>
      <c r="V58" s="28">
        <f t="shared" si="13"/>
        <v>406825</v>
      </c>
      <c r="W58" s="42"/>
      <c r="X58" s="42">
        <v>50000</v>
      </c>
      <c r="Z58" s="32" t="s">
        <v>188</v>
      </c>
      <c r="AA58" s="52" t="s">
        <v>189</v>
      </c>
      <c r="AB58" s="32" t="s">
        <v>190</v>
      </c>
      <c r="AC58" s="32" t="s">
        <v>191</v>
      </c>
      <c r="AD58" s="32" t="s">
        <v>192</v>
      </c>
      <c r="AE58" s="32" t="s">
        <v>193</v>
      </c>
    </row>
    <row r="59" spans="1:32" x14ac:dyDescent="0.25">
      <c r="A59" s="8">
        <v>55</v>
      </c>
      <c r="B59" s="15" t="s">
        <v>140</v>
      </c>
      <c r="C59" s="8">
        <v>10</v>
      </c>
      <c r="D59" s="55"/>
      <c r="E59" s="27">
        <f t="shared" ref="E59:S59" si="281">E139+E218</f>
        <v>0</v>
      </c>
      <c r="F59" s="27">
        <f t="shared" si="281"/>
        <v>0</v>
      </c>
      <c r="G59" s="27">
        <f t="shared" si="281"/>
        <v>100000</v>
      </c>
      <c r="H59" s="27">
        <f t="shared" si="281"/>
        <v>100000</v>
      </c>
      <c r="I59" s="27">
        <f t="shared" si="281"/>
        <v>100000</v>
      </c>
      <c r="J59" s="27">
        <f t="shared" si="281"/>
        <v>100000</v>
      </c>
      <c r="K59" s="27">
        <f t="shared" si="281"/>
        <v>100000</v>
      </c>
      <c r="L59" s="27">
        <f t="shared" si="281"/>
        <v>100000</v>
      </c>
      <c r="M59" s="39">
        <f t="shared" si="281"/>
        <v>103125</v>
      </c>
      <c r="N59" s="47">
        <f t="shared" ref="N59" si="282">N139+N218</f>
        <v>100000</v>
      </c>
      <c r="O59" s="39">
        <f t="shared" si="281"/>
        <v>103125</v>
      </c>
      <c r="P59" s="47">
        <f t="shared" ref="P59" si="283">P139+P218</f>
        <v>100000</v>
      </c>
      <c r="Q59" s="39">
        <f t="shared" si="281"/>
        <v>103125</v>
      </c>
      <c r="R59" s="47">
        <f t="shared" ref="R59" si="284">R139+R218</f>
        <v>100000</v>
      </c>
      <c r="S59" s="39">
        <f t="shared" si="281"/>
        <v>113437.5</v>
      </c>
      <c r="T59" s="47">
        <f t="shared" ref="T59" si="285">T139+T218</f>
        <v>106825</v>
      </c>
      <c r="U59" s="28">
        <f t="shared" si="12"/>
        <v>1022812.5</v>
      </c>
      <c r="V59" s="28">
        <f t="shared" si="13"/>
        <v>1006825</v>
      </c>
      <c r="W59" s="42">
        <v>50000</v>
      </c>
      <c r="X59" s="42">
        <v>50000</v>
      </c>
      <c r="Z59" s="50">
        <v>45658</v>
      </c>
      <c r="AA59" s="51">
        <v>100500</v>
      </c>
      <c r="AB59" s="8">
        <v>31</v>
      </c>
      <c r="AC59" s="8">
        <v>14</v>
      </c>
      <c r="AD59" s="8">
        <v>10</v>
      </c>
      <c r="AE59" s="44">
        <f>AA59/AB59*AC59*AD59</f>
        <v>453870.96774193546</v>
      </c>
    </row>
    <row r="60" spans="1:32" x14ac:dyDescent="0.25">
      <c r="A60" s="8">
        <v>56</v>
      </c>
      <c r="B60" s="15" t="s">
        <v>140</v>
      </c>
      <c r="C60" s="8">
        <v>10</v>
      </c>
      <c r="D60" s="55"/>
      <c r="E60" s="27">
        <f t="shared" ref="E60:S60" si="286">E140+E219</f>
        <v>0</v>
      </c>
      <c r="F60" s="27">
        <f t="shared" si="286"/>
        <v>0</v>
      </c>
      <c r="G60" s="27">
        <f t="shared" si="286"/>
        <v>100000</v>
      </c>
      <c r="H60" s="27">
        <f t="shared" si="286"/>
        <v>100000</v>
      </c>
      <c r="I60" s="27">
        <f t="shared" si="286"/>
        <v>100000</v>
      </c>
      <c r="J60" s="27">
        <f t="shared" si="286"/>
        <v>100000</v>
      </c>
      <c r="K60" s="27">
        <f t="shared" si="286"/>
        <v>100000</v>
      </c>
      <c r="L60" s="27">
        <f t="shared" si="286"/>
        <v>100000</v>
      </c>
      <c r="M60" s="39">
        <f t="shared" si="286"/>
        <v>103125</v>
      </c>
      <c r="N60" s="47">
        <f t="shared" ref="N60" si="287">N140+N219</f>
        <v>100000</v>
      </c>
      <c r="O60" s="39">
        <f t="shared" si="286"/>
        <v>103125</v>
      </c>
      <c r="P60" s="47">
        <f t="shared" ref="P60" si="288">P140+P219</f>
        <v>100000</v>
      </c>
      <c r="Q60" s="39">
        <f t="shared" si="286"/>
        <v>103125</v>
      </c>
      <c r="R60" s="47">
        <f t="shared" ref="R60" si="289">R140+R219</f>
        <v>100000</v>
      </c>
      <c r="S60" s="39">
        <f t="shared" si="286"/>
        <v>113437.5</v>
      </c>
      <c r="T60" s="47">
        <f t="shared" ref="T60" si="290">T140+T219</f>
        <v>106825</v>
      </c>
      <c r="U60" s="28">
        <f t="shared" si="12"/>
        <v>1022812.5</v>
      </c>
      <c r="V60" s="28">
        <f t="shared" si="13"/>
        <v>1006825</v>
      </c>
      <c r="W60" s="42">
        <v>50000</v>
      </c>
      <c r="X60" s="42">
        <v>50000</v>
      </c>
      <c r="Z60" s="50">
        <v>45689</v>
      </c>
      <c r="AA60" s="51">
        <v>100500</v>
      </c>
      <c r="AB60" s="8">
        <v>28</v>
      </c>
      <c r="AC60" s="8">
        <v>8</v>
      </c>
      <c r="AD60" s="8">
        <v>10</v>
      </c>
      <c r="AE60" s="44">
        <f t="shared" ref="AE60:AE70" si="291">AA60/AB60*AC60*AD60</f>
        <v>287142.85714285716</v>
      </c>
    </row>
    <row r="61" spans="1:32" x14ac:dyDescent="0.25">
      <c r="A61" s="8">
        <v>57</v>
      </c>
      <c r="B61" s="15" t="s">
        <v>140</v>
      </c>
      <c r="C61" s="8">
        <v>10</v>
      </c>
      <c r="D61" s="55"/>
      <c r="E61" s="27">
        <f t="shared" ref="E61:S61" si="292">E141+E220</f>
        <v>0</v>
      </c>
      <c r="F61" s="27">
        <f t="shared" si="292"/>
        <v>0</v>
      </c>
      <c r="G61" s="27">
        <f t="shared" si="292"/>
        <v>100000</v>
      </c>
      <c r="H61" s="27">
        <f t="shared" si="292"/>
        <v>100000</v>
      </c>
      <c r="I61" s="27">
        <f t="shared" si="292"/>
        <v>100000</v>
      </c>
      <c r="J61" s="27">
        <f t="shared" si="292"/>
        <v>100000</v>
      </c>
      <c r="K61" s="27">
        <f t="shared" si="292"/>
        <v>100000</v>
      </c>
      <c r="L61" s="27">
        <f t="shared" si="292"/>
        <v>100000</v>
      </c>
      <c r="M61" s="39">
        <f t="shared" si="292"/>
        <v>103125</v>
      </c>
      <c r="N61" s="47">
        <f t="shared" ref="N61:O62" si="293">N141+N220</f>
        <v>100000</v>
      </c>
      <c r="O61" s="39">
        <f t="shared" si="292"/>
        <v>103125</v>
      </c>
      <c r="P61" s="47">
        <f t="shared" ref="P61:Q62" si="294">P141+P220</f>
        <v>100000</v>
      </c>
      <c r="Q61" s="39">
        <f t="shared" si="292"/>
        <v>103125</v>
      </c>
      <c r="R61" s="47">
        <f t="shared" ref="R61:S62" si="295">R141+R220</f>
        <v>100000</v>
      </c>
      <c r="S61" s="39">
        <f t="shared" si="292"/>
        <v>113437.5</v>
      </c>
      <c r="T61" s="47">
        <f t="shared" ref="T61:T62" si="296">T141+T220</f>
        <v>106825</v>
      </c>
      <c r="U61" s="28">
        <f t="shared" si="12"/>
        <v>1022812.5</v>
      </c>
      <c r="V61" s="28">
        <f t="shared" si="13"/>
        <v>1006825</v>
      </c>
      <c r="W61" s="42">
        <v>50000</v>
      </c>
      <c r="X61" s="42">
        <v>50000</v>
      </c>
      <c r="Z61" s="50">
        <v>45717</v>
      </c>
      <c r="AA61" s="51">
        <v>104300</v>
      </c>
      <c r="AB61" s="8">
        <v>31</v>
      </c>
      <c r="AC61" s="8">
        <v>10</v>
      </c>
      <c r="AD61" s="8">
        <v>10</v>
      </c>
      <c r="AE61" s="44">
        <f t="shared" si="291"/>
        <v>336451.61290322582</v>
      </c>
    </row>
    <row r="62" spans="1:32" x14ac:dyDescent="0.25">
      <c r="A62" s="8">
        <v>58</v>
      </c>
      <c r="B62" s="24" t="s">
        <v>141</v>
      </c>
      <c r="C62" s="8">
        <v>10</v>
      </c>
      <c r="D62" s="11"/>
      <c r="E62" s="27">
        <f t="shared" ref="E62:M62" si="297">E142+E221</f>
        <v>0</v>
      </c>
      <c r="F62" s="27">
        <f t="shared" si="297"/>
        <v>0</v>
      </c>
      <c r="G62" s="27">
        <f t="shared" si="297"/>
        <v>0</v>
      </c>
      <c r="H62" s="27">
        <f t="shared" si="297"/>
        <v>0</v>
      </c>
      <c r="I62" s="27">
        <f t="shared" si="297"/>
        <v>0</v>
      </c>
      <c r="J62" s="27">
        <f t="shared" si="297"/>
        <v>0</v>
      </c>
      <c r="K62" s="27">
        <f t="shared" si="297"/>
        <v>0</v>
      </c>
      <c r="L62" s="27">
        <f t="shared" si="297"/>
        <v>0</v>
      </c>
      <c r="M62" s="39">
        <f t="shared" si="297"/>
        <v>0</v>
      </c>
      <c r="N62" s="47">
        <f t="shared" si="293"/>
        <v>81250</v>
      </c>
      <c r="O62" s="39">
        <f t="shared" si="293"/>
        <v>0</v>
      </c>
      <c r="P62" s="47">
        <f t="shared" si="294"/>
        <v>81250</v>
      </c>
      <c r="Q62" s="39">
        <f t="shared" si="294"/>
        <v>0</v>
      </c>
      <c r="R62" s="47">
        <f t="shared" si="295"/>
        <v>81250</v>
      </c>
      <c r="S62" s="39">
        <f t="shared" si="295"/>
        <v>0</v>
      </c>
      <c r="T62" s="47">
        <f t="shared" si="296"/>
        <v>87750</v>
      </c>
      <c r="U62" s="28">
        <f t="shared" si="12"/>
        <v>0</v>
      </c>
      <c r="V62" s="28">
        <f t="shared" si="13"/>
        <v>331500</v>
      </c>
      <c r="W62" s="42"/>
      <c r="X62" s="42">
        <v>50000</v>
      </c>
      <c r="Z62" s="50">
        <v>45748</v>
      </c>
      <c r="AA62" s="51">
        <v>104300</v>
      </c>
      <c r="AB62" s="8">
        <v>30</v>
      </c>
      <c r="AC62" s="8">
        <v>8</v>
      </c>
      <c r="AD62" s="8">
        <v>10</v>
      </c>
      <c r="AE62" s="44">
        <f t="shared" si="291"/>
        <v>278133.33333333331</v>
      </c>
    </row>
    <row r="63" spans="1:32" x14ac:dyDescent="0.25">
      <c r="A63" s="8">
        <v>59</v>
      </c>
      <c r="B63" s="24" t="s">
        <v>141</v>
      </c>
      <c r="C63" s="8">
        <v>10</v>
      </c>
      <c r="D63" s="11"/>
      <c r="E63" s="27">
        <f t="shared" ref="E63:M64" si="298">E143+E222</f>
        <v>0</v>
      </c>
      <c r="F63" s="27">
        <f t="shared" si="298"/>
        <v>0</v>
      </c>
      <c r="G63" s="27">
        <f t="shared" si="298"/>
        <v>0</v>
      </c>
      <c r="H63" s="27">
        <f t="shared" si="298"/>
        <v>0</v>
      </c>
      <c r="I63" s="27">
        <f t="shared" si="298"/>
        <v>0</v>
      </c>
      <c r="J63" s="27">
        <f t="shared" si="298"/>
        <v>0</v>
      </c>
      <c r="K63" s="27">
        <f t="shared" si="298"/>
        <v>0</v>
      </c>
      <c r="L63" s="27">
        <f t="shared" si="298"/>
        <v>0</v>
      </c>
      <c r="M63" s="39">
        <f t="shared" si="298"/>
        <v>0</v>
      </c>
      <c r="N63" s="47">
        <f t="shared" ref="N63:T65" si="299">N143+N222</f>
        <v>81250</v>
      </c>
      <c r="O63" s="39">
        <f t="shared" si="299"/>
        <v>0</v>
      </c>
      <c r="P63" s="47">
        <f t="shared" si="299"/>
        <v>81250</v>
      </c>
      <c r="Q63" s="39">
        <f t="shared" si="299"/>
        <v>0</v>
      </c>
      <c r="R63" s="47">
        <f t="shared" si="299"/>
        <v>81250</v>
      </c>
      <c r="S63" s="39">
        <f t="shared" si="299"/>
        <v>0</v>
      </c>
      <c r="T63" s="47">
        <f t="shared" si="299"/>
        <v>87750</v>
      </c>
      <c r="U63" s="28">
        <f t="shared" si="12"/>
        <v>0</v>
      </c>
      <c r="V63" s="28">
        <f t="shared" si="13"/>
        <v>331500</v>
      </c>
      <c r="W63" s="42"/>
      <c r="X63" s="42">
        <v>50000</v>
      </c>
      <c r="Z63" s="50">
        <v>45778</v>
      </c>
      <c r="AA63" s="51">
        <v>104700</v>
      </c>
      <c r="AB63" s="8">
        <v>31</v>
      </c>
      <c r="AC63" s="8">
        <v>13</v>
      </c>
      <c r="AD63" s="8">
        <v>10</v>
      </c>
      <c r="AE63" s="44">
        <f t="shared" si="291"/>
        <v>439064.51612903224</v>
      </c>
    </row>
    <row r="64" spans="1:32" x14ac:dyDescent="0.25">
      <c r="A64" s="8">
        <v>60</v>
      </c>
      <c r="B64" s="24" t="s">
        <v>141</v>
      </c>
      <c r="C64" s="8">
        <v>10</v>
      </c>
      <c r="D64" s="5"/>
      <c r="E64" s="27">
        <f t="shared" ref="E64:F64" si="300">E144+E223</f>
        <v>0</v>
      </c>
      <c r="F64" s="27">
        <f t="shared" si="300"/>
        <v>0</v>
      </c>
      <c r="G64" s="27">
        <f t="shared" si="298"/>
        <v>0</v>
      </c>
      <c r="H64" s="27">
        <f t="shared" si="298"/>
        <v>0</v>
      </c>
      <c r="I64" s="27">
        <f t="shared" si="298"/>
        <v>0</v>
      </c>
      <c r="J64" s="27">
        <f t="shared" si="298"/>
        <v>0</v>
      </c>
      <c r="K64" s="27">
        <f t="shared" si="298"/>
        <v>0</v>
      </c>
      <c r="L64" s="27">
        <f t="shared" si="298"/>
        <v>0</v>
      </c>
      <c r="M64" s="39">
        <f t="shared" si="298"/>
        <v>0</v>
      </c>
      <c r="N64" s="47">
        <f t="shared" si="299"/>
        <v>81250</v>
      </c>
      <c r="O64" s="39">
        <f t="shared" si="299"/>
        <v>0</v>
      </c>
      <c r="P64" s="47">
        <f t="shared" si="299"/>
        <v>81250</v>
      </c>
      <c r="Q64" s="39">
        <f t="shared" si="299"/>
        <v>0</v>
      </c>
      <c r="R64" s="47">
        <f t="shared" si="299"/>
        <v>81250</v>
      </c>
      <c r="S64" s="39">
        <f t="shared" si="299"/>
        <v>0</v>
      </c>
      <c r="T64" s="47">
        <f t="shared" si="299"/>
        <v>87750</v>
      </c>
      <c r="U64" s="28">
        <f t="shared" si="12"/>
        <v>0</v>
      </c>
      <c r="V64" s="28">
        <f t="shared" si="13"/>
        <v>331500</v>
      </c>
      <c r="W64" s="42"/>
      <c r="X64" s="42">
        <v>50000</v>
      </c>
      <c r="Z64" s="50">
        <v>45809</v>
      </c>
      <c r="AA64" s="51">
        <v>105200</v>
      </c>
      <c r="AB64" s="8">
        <v>30</v>
      </c>
      <c r="AC64" s="8">
        <v>11</v>
      </c>
      <c r="AD64" s="8">
        <v>10</v>
      </c>
      <c r="AE64" s="44">
        <f t="shared" si="291"/>
        <v>385733.33333333326</v>
      </c>
    </row>
    <row r="65" spans="1:31" x14ac:dyDescent="0.25">
      <c r="A65" s="8">
        <v>61</v>
      </c>
      <c r="B65" s="8" t="s">
        <v>138</v>
      </c>
      <c r="C65" s="8">
        <v>10</v>
      </c>
      <c r="D65" s="56"/>
      <c r="E65" s="27">
        <f t="shared" ref="E65:S65" si="301">E145+E224</f>
        <v>0</v>
      </c>
      <c r="F65" s="27">
        <f t="shared" si="301"/>
        <v>0</v>
      </c>
      <c r="G65" s="27">
        <f t="shared" si="301"/>
        <v>87500</v>
      </c>
      <c r="H65" s="27">
        <f t="shared" si="301"/>
        <v>87500</v>
      </c>
      <c r="I65" s="27">
        <f t="shared" si="301"/>
        <v>87500</v>
      </c>
      <c r="J65" s="27">
        <f t="shared" si="301"/>
        <v>87500</v>
      </c>
      <c r="K65" s="27">
        <f t="shared" si="301"/>
        <v>87500</v>
      </c>
      <c r="L65" s="27">
        <f t="shared" si="301"/>
        <v>87500</v>
      </c>
      <c r="M65" s="39">
        <f t="shared" si="301"/>
        <v>87500</v>
      </c>
      <c r="N65" s="47">
        <f t="shared" si="299"/>
        <v>87500</v>
      </c>
      <c r="O65" s="39">
        <f t="shared" si="301"/>
        <v>87500</v>
      </c>
      <c r="P65" s="47">
        <f t="shared" ref="P65" si="302">P145+P224</f>
        <v>87500</v>
      </c>
      <c r="Q65" s="39">
        <f t="shared" si="301"/>
        <v>87500</v>
      </c>
      <c r="R65" s="47">
        <f t="shared" ref="R65" si="303">R145+R224</f>
        <v>87500</v>
      </c>
      <c r="S65" s="39">
        <f t="shared" si="301"/>
        <v>94500</v>
      </c>
      <c r="T65" s="47">
        <f t="shared" ref="T65" si="304">T145+T224</f>
        <v>94500</v>
      </c>
      <c r="U65" s="28">
        <f t="shared" si="12"/>
        <v>882000</v>
      </c>
      <c r="V65" s="28">
        <f t="shared" si="13"/>
        <v>882000</v>
      </c>
      <c r="W65" s="42">
        <v>50000</v>
      </c>
      <c r="X65" s="42">
        <v>50000</v>
      </c>
      <c r="Z65" s="50">
        <v>45839</v>
      </c>
      <c r="AA65" s="51">
        <v>104200</v>
      </c>
      <c r="AB65" s="8">
        <v>31</v>
      </c>
      <c r="AC65" s="8">
        <v>8</v>
      </c>
      <c r="AD65" s="8">
        <v>10</v>
      </c>
      <c r="AE65" s="44">
        <f t="shared" si="291"/>
        <v>268903.22580645164</v>
      </c>
    </row>
    <row r="66" spans="1:31" x14ac:dyDescent="0.25">
      <c r="A66" s="8">
        <v>62</v>
      </c>
      <c r="B66" s="8" t="s">
        <v>138</v>
      </c>
      <c r="C66" s="8">
        <v>10</v>
      </c>
      <c r="D66" s="56"/>
      <c r="E66" s="27">
        <f t="shared" ref="E66:S67" si="305">E146+E225</f>
        <v>0</v>
      </c>
      <c r="F66" s="27">
        <f t="shared" si="305"/>
        <v>0</v>
      </c>
      <c r="G66" s="27">
        <f t="shared" si="305"/>
        <v>87500</v>
      </c>
      <c r="H66" s="27">
        <f t="shared" si="305"/>
        <v>87500</v>
      </c>
      <c r="I66" s="27">
        <f t="shared" si="305"/>
        <v>87500</v>
      </c>
      <c r="J66" s="27">
        <f t="shared" si="305"/>
        <v>87500</v>
      </c>
      <c r="K66" s="27">
        <f t="shared" si="305"/>
        <v>87500</v>
      </c>
      <c r="L66" s="27">
        <f t="shared" si="305"/>
        <v>87500</v>
      </c>
      <c r="M66" s="39">
        <f t="shared" si="305"/>
        <v>87500</v>
      </c>
      <c r="N66" s="47">
        <f t="shared" ref="N66:T67" si="306">N146+N225</f>
        <v>87500</v>
      </c>
      <c r="O66" s="39">
        <f t="shared" si="305"/>
        <v>87500</v>
      </c>
      <c r="P66" s="47">
        <f t="shared" ref="P66" si="307">P146+P225</f>
        <v>87500</v>
      </c>
      <c r="Q66" s="39">
        <f t="shared" si="305"/>
        <v>87500</v>
      </c>
      <c r="R66" s="47">
        <f t="shared" ref="R66" si="308">R146+R225</f>
        <v>87500</v>
      </c>
      <c r="S66" s="39">
        <f t="shared" si="305"/>
        <v>94500</v>
      </c>
      <c r="T66" s="47">
        <f t="shared" ref="T66" si="309">T146+T225</f>
        <v>94500</v>
      </c>
      <c r="U66" s="28">
        <f t="shared" si="12"/>
        <v>882000</v>
      </c>
      <c r="V66" s="28">
        <f t="shared" si="13"/>
        <v>882000</v>
      </c>
      <c r="W66" s="42">
        <v>50000</v>
      </c>
      <c r="X66" s="42">
        <v>50000</v>
      </c>
      <c r="Z66" s="50">
        <v>45870</v>
      </c>
      <c r="AA66" s="51">
        <v>104200</v>
      </c>
      <c r="AB66" s="8">
        <v>31</v>
      </c>
      <c r="AC66" s="8">
        <v>10</v>
      </c>
      <c r="AD66" s="8">
        <v>10</v>
      </c>
      <c r="AE66" s="44">
        <f t="shared" si="291"/>
        <v>336129.03225806454</v>
      </c>
    </row>
    <row r="67" spans="1:31" ht="15" customHeight="1" x14ac:dyDescent="0.25">
      <c r="A67" s="8">
        <v>63</v>
      </c>
      <c r="B67" s="8" t="s">
        <v>138</v>
      </c>
      <c r="C67" s="8">
        <v>10</v>
      </c>
      <c r="D67" s="5"/>
      <c r="E67" s="27">
        <f t="shared" ref="E67:F67" si="310">E147+E226</f>
        <v>0</v>
      </c>
      <c r="F67" s="27">
        <f t="shared" si="310"/>
        <v>0</v>
      </c>
      <c r="G67" s="27">
        <f t="shared" si="305"/>
        <v>0</v>
      </c>
      <c r="H67" s="27">
        <f t="shared" si="305"/>
        <v>0</v>
      </c>
      <c r="I67" s="27">
        <f t="shared" si="305"/>
        <v>0</v>
      </c>
      <c r="J67" s="27">
        <f t="shared" si="305"/>
        <v>0</v>
      </c>
      <c r="K67" s="27">
        <f t="shared" si="305"/>
        <v>0</v>
      </c>
      <c r="L67" s="27">
        <f t="shared" si="305"/>
        <v>0</v>
      </c>
      <c r="M67" s="39">
        <f t="shared" si="305"/>
        <v>0</v>
      </c>
      <c r="N67" s="47">
        <f t="shared" si="306"/>
        <v>87500</v>
      </c>
      <c r="O67" s="39">
        <f t="shared" si="305"/>
        <v>0</v>
      </c>
      <c r="P67" s="47">
        <f t="shared" si="306"/>
        <v>87500</v>
      </c>
      <c r="Q67" s="39">
        <f t="shared" si="305"/>
        <v>0</v>
      </c>
      <c r="R67" s="47">
        <f t="shared" si="306"/>
        <v>87500</v>
      </c>
      <c r="S67" s="39">
        <f t="shared" si="305"/>
        <v>0</v>
      </c>
      <c r="T67" s="47">
        <f t="shared" si="306"/>
        <v>94500</v>
      </c>
      <c r="U67" s="28">
        <f t="shared" si="12"/>
        <v>0</v>
      </c>
      <c r="V67" s="28">
        <f t="shared" si="13"/>
        <v>357000</v>
      </c>
      <c r="W67" s="42"/>
      <c r="X67" s="42">
        <v>50000</v>
      </c>
      <c r="Z67" s="50">
        <v>45901</v>
      </c>
      <c r="AA67" s="51">
        <v>104200</v>
      </c>
      <c r="AB67" s="8">
        <v>30</v>
      </c>
      <c r="AC67" s="8">
        <v>8</v>
      </c>
      <c r="AD67" s="8">
        <v>10</v>
      </c>
      <c r="AE67" s="44">
        <f t="shared" si="291"/>
        <v>277866.66666666669</v>
      </c>
    </row>
    <row r="68" spans="1:31" ht="15" customHeight="1" x14ac:dyDescent="0.25">
      <c r="A68" s="8">
        <v>64</v>
      </c>
      <c r="B68" s="16" t="s">
        <v>145</v>
      </c>
      <c r="C68" s="8">
        <v>10</v>
      </c>
      <c r="D68" s="56"/>
      <c r="E68" s="27">
        <f t="shared" ref="E68:T69" si="311">E148+E227</f>
        <v>0</v>
      </c>
      <c r="F68" s="27">
        <f t="shared" si="311"/>
        <v>0</v>
      </c>
      <c r="G68" s="27">
        <f t="shared" si="311"/>
        <v>100000</v>
      </c>
      <c r="H68" s="27">
        <f t="shared" si="311"/>
        <v>100000</v>
      </c>
      <c r="I68" s="27">
        <f t="shared" si="311"/>
        <v>100000</v>
      </c>
      <c r="J68" s="27">
        <f t="shared" si="311"/>
        <v>100000</v>
      </c>
      <c r="K68" s="27">
        <f t="shared" si="311"/>
        <v>100000</v>
      </c>
      <c r="L68" s="27">
        <f t="shared" si="311"/>
        <v>100000</v>
      </c>
      <c r="M68" s="39">
        <f t="shared" si="311"/>
        <v>103125</v>
      </c>
      <c r="N68" s="47">
        <f t="shared" ref="N68:N69" si="312">N148+N227</f>
        <v>100000</v>
      </c>
      <c r="O68" s="39">
        <f t="shared" si="311"/>
        <v>103125</v>
      </c>
      <c r="P68" s="47">
        <f t="shared" ref="P68" si="313">P148+P227</f>
        <v>100000</v>
      </c>
      <c r="Q68" s="39">
        <f t="shared" si="311"/>
        <v>103125</v>
      </c>
      <c r="R68" s="47">
        <f t="shared" ref="R68" si="314">R148+R227</f>
        <v>100000</v>
      </c>
      <c r="S68" s="39">
        <f t="shared" si="311"/>
        <v>113437.5</v>
      </c>
      <c r="T68" s="47">
        <f t="shared" ref="T68" si="315">T148+T227</f>
        <v>106825</v>
      </c>
      <c r="U68" s="28">
        <f t="shared" si="12"/>
        <v>1022812.5</v>
      </c>
      <c r="V68" s="28">
        <f t="shared" si="13"/>
        <v>1006825</v>
      </c>
      <c r="W68" s="42">
        <v>50000</v>
      </c>
      <c r="X68" s="42">
        <v>50000</v>
      </c>
      <c r="Z68" s="50">
        <v>45931</v>
      </c>
      <c r="AA68" s="51">
        <v>104200</v>
      </c>
      <c r="AB68" s="8">
        <v>31</v>
      </c>
      <c r="AC68" s="8">
        <v>8</v>
      </c>
      <c r="AD68" s="8">
        <v>10</v>
      </c>
      <c r="AE68" s="44">
        <f t="shared" si="291"/>
        <v>268903.22580645164</v>
      </c>
    </row>
    <row r="69" spans="1:31" ht="15" customHeight="1" x14ac:dyDescent="0.25">
      <c r="A69" s="8">
        <v>65</v>
      </c>
      <c r="B69" s="9" t="s">
        <v>148</v>
      </c>
      <c r="C69" s="8">
        <v>8</v>
      </c>
      <c r="D69" s="5" t="s">
        <v>159</v>
      </c>
      <c r="E69" s="27">
        <f t="shared" ref="E69:F69" si="316">E149+E228</f>
        <v>100000</v>
      </c>
      <c r="F69" s="27">
        <f t="shared" si="316"/>
        <v>209000</v>
      </c>
      <c r="G69" s="27">
        <f t="shared" si="311"/>
        <v>0</v>
      </c>
      <c r="H69" s="27">
        <f t="shared" si="311"/>
        <v>0</v>
      </c>
      <c r="I69" s="27">
        <f t="shared" si="311"/>
        <v>0</v>
      </c>
      <c r="J69" s="27">
        <f t="shared" si="311"/>
        <v>0</v>
      </c>
      <c r="K69" s="27">
        <f t="shared" si="311"/>
        <v>0</v>
      </c>
      <c r="L69" s="27">
        <f t="shared" si="311"/>
        <v>0</v>
      </c>
      <c r="M69" s="39">
        <f t="shared" si="311"/>
        <v>0</v>
      </c>
      <c r="N69" s="47">
        <f t="shared" si="312"/>
        <v>0</v>
      </c>
      <c r="O69" s="39">
        <f t="shared" si="311"/>
        <v>0</v>
      </c>
      <c r="P69" s="47">
        <f t="shared" si="311"/>
        <v>0</v>
      </c>
      <c r="Q69" s="39">
        <f t="shared" si="311"/>
        <v>0</v>
      </c>
      <c r="R69" s="47">
        <f t="shared" si="311"/>
        <v>0</v>
      </c>
      <c r="S69" s="39">
        <f t="shared" si="311"/>
        <v>0</v>
      </c>
      <c r="T69" s="47">
        <f t="shared" si="311"/>
        <v>0</v>
      </c>
      <c r="U69" s="28">
        <f t="shared" si="12"/>
        <v>309000</v>
      </c>
      <c r="V69" s="28">
        <f t="shared" si="13"/>
        <v>309000</v>
      </c>
      <c r="W69" s="42"/>
      <c r="X69" s="42"/>
      <c r="Z69" s="50">
        <v>45962</v>
      </c>
      <c r="AA69" s="51">
        <v>104200</v>
      </c>
      <c r="AB69" s="8">
        <v>30</v>
      </c>
      <c r="AC69" s="8">
        <v>11</v>
      </c>
      <c r="AD69" s="8">
        <v>10</v>
      </c>
      <c r="AE69" s="44">
        <f t="shared" si="291"/>
        <v>382066.66666666674</v>
      </c>
    </row>
    <row r="70" spans="1:31" ht="15" customHeight="1" x14ac:dyDescent="0.25">
      <c r="A70" s="8">
        <v>66</v>
      </c>
      <c r="B70" s="9" t="s">
        <v>147</v>
      </c>
      <c r="C70" s="9">
        <v>8</v>
      </c>
      <c r="D70" s="5"/>
      <c r="E70" s="27">
        <f t="shared" ref="E70:S70" si="317">E150+E229</f>
        <v>0</v>
      </c>
      <c r="F70" s="27">
        <f t="shared" si="317"/>
        <v>0</v>
      </c>
      <c r="G70" s="27">
        <f t="shared" si="317"/>
        <v>70000</v>
      </c>
      <c r="H70" s="27">
        <f t="shared" si="317"/>
        <v>70000</v>
      </c>
      <c r="I70" s="27">
        <f t="shared" si="317"/>
        <v>70000</v>
      </c>
      <c r="J70" s="27">
        <f t="shared" si="317"/>
        <v>70000</v>
      </c>
      <c r="K70" s="27">
        <f t="shared" si="317"/>
        <v>70000</v>
      </c>
      <c r="L70" s="27">
        <f t="shared" si="317"/>
        <v>70000</v>
      </c>
      <c r="M70" s="39">
        <f t="shared" si="317"/>
        <v>70000</v>
      </c>
      <c r="N70" s="47">
        <f t="shared" ref="N70" si="318">N150+N229</f>
        <v>70000</v>
      </c>
      <c r="O70" s="39">
        <f t="shared" si="317"/>
        <v>70000</v>
      </c>
      <c r="P70" s="47">
        <f t="shared" ref="P70" si="319">P150+P229</f>
        <v>70000</v>
      </c>
      <c r="Q70" s="39">
        <f t="shared" si="317"/>
        <v>70000</v>
      </c>
      <c r="R70" s="47">
        <f t="shared" ref="R70" si="320">R150+R229</f>
        <v>70000</v>
      </c>
      <c r="S70" s="39">
        <f t="shared" si="317"/>
        <v>77000</v>
      </c>
      <c r="T70" s="47">
        <f>T150+T229</f>
        <v>77000</v>
      </c>
      <c r="U70" s="28">
        <f t="shared" ref="U70:U77" si="321">SUM(E70:M70,O70,Q70,S70)</f>
        <v>707000</v>
      </c>
      <c r="V70" s="28">
        <f t="shared" ref="V70:V77" si="322">SUM(E70:L70,N70,P70,R70,T70)</f>
        <v>707000</v>
      </c>
      <c r="W70" s="42">
        <v>50000</v>
      </c>
      <c r="X70" s="42">
        <v>50000</v>
      </c>
      <c r="Z70" s="50">
        <v>45992</v>
      </c>
      <c r="AA70" s="51">
        <v>104200</v>
      </c>
      <c r="AB70" s="8">
        <v>31</v>
      </c>
      <c r="AC70" s="8">
        <v>9</v>
      </c>
      <c r="AD70" s="8">
        <v>10</v>
      </c>
      <c r="AE70" s="44">
        <f t="shared" si="291"/>
        <v>302516.12903225806</v>
      </c>
    </row>
    <row r="71" spans="1:31" ht="15" customHeight="1" x14ac:dyDescent="0.25">
      <c r="A71" s="8">
        <v>67</v>
      </c>
      <c r="B71" s="9" t="s">
        <v>168</v>
      </c>
      <c r="C71" s="9">
        <v>8</v>
      </c>
      <c r="D71" s="5"/>
      <c r="E71" s="27">
        <f t="shared" ref="E71:T71" si="323">E151+E230</f>
        <v>0</v>
      </c>
      <c r="F71" s="27">
        <f t="shared" si="323"/>
        <v>0</v>
      </c>
      <c r="G71" s="27">
        <f t="shared" si="323"/>
        <v>0</v>
      </c>
      <c r="H71" s="27">
        <f t="shared" si="323"/>
        <v>0</v>
      </c>
      <c r="I71" s="27">
        <f t="shared" si="323"/>
        <v>0</v>
      </c>
      <c r="J71" s="27">
        <f t="shared" si="323"/>
        <v>0</v>
      </c>
      <c r="K71" s="27">
        <f t="shared" si="323"/>
        <v>0</v>
      </c>
      <c r="L71" s="27">
        <f t="shared" si="323"/>
        <v>0</v>
      </c>
      <c r="M71" s="39">
        <f t="shared" si="323"/>
        <v>0</v>
      </c>
      <c r="N71" s="47">
        <f t="shared" si="323"/>
        <v>0</v>
      </c>
      <c r="O71" s="39">
        <f t="shared" si="323"/>
        <v>0</v>
      </c>
      <c r="P71" s="47">
        <f t="shared" si="323"/>
        <v>0</v>
      </c>
      <c r="Q71" s="39">
        <f t="shared" si="323"/>
        <v>0</v>
      </c>
      <c r="R71" s="47">
        <f t="shared" si="323"/>
        <v>0</v>
      </c>
      <c r="S71" s="39">
        <f t="shared" si="323"/>
        <v>0</v>
      </c>
      <c r="T71" s="47">
        <f t="shared" si="323"/>
        <v>0</v>
      </c>
      <c r="U71" s="28">
        <f t="shared" si="321"/>
        <v>0</v>
      </c>
      <c r="V71" s="28">
        <f t="shared" si="322"/>
        <v>0</v>
      </c>
      <c r="W71" s="42"/>
      <c r="X71" s="42"/>
      <c r="AE71" s="44">
        <f>SUM(AE59:AE70)</f>
        <v>4016781.5668202769</v>
      </c>
    </row>
    <row r="72" spans="1:31" ht="15" customHeight="1" x14ac:dyDescent="0.25">
      <c r="A72" s="8">
        <v>68</v>
      </c>
      <c r="B72" s="9" t="s">
        <v>168</v>
      </c>
      <c r="C72" s="9">
        <v>8</v>
      </c>
      <c r="D72" s="5"/>
      <c r="E72" s="27">
        <f t="shared" ref="E72:T72" si="324">E152+E231</f>
        <v>0</v>
      </c>
      <c r="F72" s="27">
        <f t="shared" si="324"/>
        <v>0</v>
      </c>
      <c r="G72" s="27">
        <f t="shared" si="324"/>
        <v>0</v>
      </c>
      <c r="H72" s="27">
        <f t="shared" si="324"/>
        <v>0</v>
      </c>
      <c r="I72" s="27">
        <f t="shared" si="324"/>
        <v>0</v>
      </c>
      <c r="J72" s="27">
        <f t="shared" si="324"/>
        <v>0</v>
      </c>
      <c r="K72" s="27">
        <f t="shared" si="324"/>
        <v>0</v>
      </c>
      <c r="L72" s="27">
        <f t="shared" si="324"/>
        <v>0</v>
      </c>
      <c r="M72" s="39">
        <f t="shared" si="324"/>
        <v>0</v>
      </c>
      <c r="N72" s="47">
        <f t="shared" si="324"/>
        <v>0</v>
      </c>
      <c r="O72" s="39">
        <f t="shared" si="324"/>
        <v>0</v>
      </c>
      <c r="P72" s="47">
        <f t="shared" si="324"/>
        <v>0</v>
      </c>
      <c r="Q72" s="39">
        <f t="shared" si="324"/>
        <v>0</v>
      </c>
      <c r="R72" s="47">
        <f t="shared" si="324"/>
        <v>0</v>
      </c>
      <c r="S72" s="39">
        <f t="shared" si="324"/>
        <v>0</v>
      </c>
      <c r="T72" s="47">
        <f t="shared" si="324"/>
        <v>0</v>
      </c>
      <c r="U72" s="28">
        <f t="shared" si="321"/>
        <v>0</v>
      </c>
      <c r="V72" s="28">
        <f t="shared" si="322"/>
        <v>0</v>
      </c>
      <c r="W72" s="42"/>
      <c r="X72" s="42"/>
      <c r="AE72" s="41"/>
    </row>
    <row r="73" spans="1:31" ht="15" customHeight="1" x14ac:dyDescent="0.25">
      <c r="A73" s="8">
        <v>69</v>
      </c>
      <c r="B73" s="9" t="s">
        <v>168</v>
      </c>
      <c r="C73" s="9">
        <v>8</v>
      </c>
      <c r="D73" s="5"/>
      <c r="E73" s="27">
        <f t="shared" ref="E73:T73" si="325">E153+E232</f>
        <v>0</v>
      </c>
      <c r="F73" s="27">
        <f t="shared" si="325"/>
        <v>0</v>
      </c>
      <c r="G73" s="27">
        <f t="shared" si="325"/>
        <v>0</v>
      </c>
      <c r="H73" s="27">
        <f t="shared" si="325"/>
        <v>0</v>
      </c>
      <c r="I73" s="27">
        <f t="shared" si="325"/>
        <v>0</v>
      </c>
      <c r="J73" s="27">
        <f t="shared" si="325"/>
        <v>0</v>
      </c>
      <c r="K73" s="27">
        <f t="shared" si="325"/>
        <v>0</v>
      </c>
      <c r="L73" s="27">
        <f t="shared" si="325"/>
        <v>0</v>
      </c>
      <c r="M73" s="39">
        <f t="shared" si="325"/>
        <v>0</v>
      </c>
      <c r="N73" s="47">
        <f t="shared" si="325"/>
        <v>0</v>
      </c>
      <c r="O73" s="39">
        <f t="shared" si="325"/>
        <v>0</v>
      </c>
      <c r="P73" s="47">
        <f t="shared" si="325"/>
        <v>0</v>
      </c>
      <c r="Q73" s="39">
        <f t="shared" si="325"/>
        <v>0</v>
      </c>
      <c r="R73" s="47">
        <f t="shared" si="325"/>
        <v>0</v>
      </c>
      <c r="S73" s="39">
        <f t="shared" si="325"/>
        <v>0</v>
      </c>
      <c r="T73" s="47">
        <f t="shared" si="325"/>
        <v>0</v>
      </c>
      <c r="U73" s="28">
        <f t="shared" si="321"/>
        <v>0</v>
      </c>
      <c r="V73" s="28">
        <f t="shared" si="322"/>
        <v>0</v>
      </c>
      <c r="W73" s="42"/>
      <c r="X73" s="42"/>
      <c r="AE73" s="41"/>
    </row>
    <row r="74" spans="1:31" ht="15" customHeight="1" x14ac:dyDescent="0.25">
      <c r="A74" s="8">
        <v>70</v>
      </c>
      <c r="B74" s="9" t="s">
        <v>170</v>
      </c>
      <c r="C74" s="9">
        <v>8</v>
      </c>
      <c r="D74" s="5"/>
      <c r="E74" s="27">
        <f t="shared" ref="E74:T74" si="326">E154+E233</f>
        <v>0</v>
      </c>
      <c r="F74" s="27">
        <f t="shared" si="326"/>
        <v>0</v>
      </c>
      <c r="G74" s="27">
        <f t="shared" si="326"/>
        <v>0</v>
      </c>
      <c r="H74" s="27">
        <f t="shared" si="326"/>
        <v>0</v>
      </c>
      <c r="I74" s="27">
        <f t="shared" si="326"/>
        <v>0</v>
      </c>
      <c r="J74" s="27">
        <f t="shared" si="326"/>
        <v>0</v>
      </c>
      <c r="K74" s="27">
        <f t="shared" si="326"/>
        <v>0</v>
      </c>
      <c r="L74" s="27">
        <f t="shared" si="326"/>
        <v>0</v>
      </c>
      <c r="M74" s="39">
        <f t="shared" si="326"/>
        <v>0</v>
      </c>
      <c r="N74" s="47">
        <f t="shared" si="326"/>
        <v>0</v>
      </c>
      <c r="O74" s="39">
        <f t="shared" si="326"/>
        <v>0</v>
      </c>
      <c r="P74" s="47">
        <f t="shared" si="326"/>
        <v>0</v>
      </c>
      <c r="Q74" s="39">
        <f t="shared" si="326"/>
        <v>0</v>
      </c>
      <c r="R74" s="47">
        <f t="shared" si="326"/>
        <v>0</v>
      </c>
      <c r="S74" s="39">
        <f t="shared" si="326"/>
        <v>0</v>
      </c>
      <c r="T74" s="47">
        <f t="shared" si="326"/>
        <v>0</v>
      </c>
      <c r="U74" s="28">
        <f t="shared" si="321"/>
        <v>0</v>
      </c>
      <c r="V74" s="28">
        <f t="shared" si="322"/>
        <v>0</v>
      </c>
      <c r="W74" s="42"/>
      <c r="X74" s="42"/>
      <c r="AE74" s="41"/>
    </row>
    <row r="75" spans="1:31" ht="15" customHeight="1" x14ac:dyDescent="0.25">
      <c r="A75" s="8">
        <v>71</v>
      </c>
      <c r="B75" s="16" t="s">
        <v>146</v>
      </c>
      <c r="C75" s="8">
        <v>10</v>
      </c>
      <c r="D75" s="5" t="s">
        <v>157</v>
      </c>
      <c r="E75" s="27">
        <f t="shared" ref="E75:S75" si="327">E155+E234</f>
        <v>94000</v>
      </c>
      <c r="F75" s="27">
        <f t="shared" si="327"/>
        <v>200000</v>
      </c>
      <c r="G75" s="27">
        <f t="shared" si="327"/>
        <v>0</v>
      </c>
      <c r="H75" s="27">
        <f t="shared" si="327"/>
        <v>0</v>
      </c>
      <c r="I75" s="27">
        <f t="shared" si="327"/>
        <v>0</v>
      </c>
      <c r="J75" s="27">
        <f t="shared" si="327"/>
        <v>0</v>
      </c>
      <c r="K75" s="27">
        <f t="shared" si="327"/>
        <v>0</v>
      </c>
      <c r="L75" s="27">
        <f t="shared" si="327"/>
        <v>0</v>
      </c>
      <c r="M75" s="39">
        <f t="shared" si="327"/>
        <v>0</v>
      </c>
      <c r="N75" s="47">
        <f t="shared" ref="N75" si="328">N155+N234</f>
        <v>0</v>
      </c>
      <c r="O75" s="39">
        <f t="shared" si="327"/>
        <v>0</v>
      </c>
      <c r="P75" s="47">
        <f t="shared" ref="P75" si="329">P155+P234</f>
        <v>0</v>
      </c>
      <c r="Q75" s="39">
        <f t="shared" si="327"/>
        <v>0</v>
      </c>
      <c r="R75" s="47">
        <f t="shared" ref="R75" si="330">R155+R234</f>
        <v>0</v>
      </c>
      <c r="S75" s="39">
        <f t="shared" si="327"/>
        <v>0</v>
      </c>
      <c r="T75" s="47">
        <f t="shared" ref="T75" si="331">T155+T234</f>
        <v>0</v>
      </c>
      <c r="U75" s="28">
        <f t="shared" si="321"/>
        <v>294000</v>
      </c>
      <c r="V75" s="28">
        <f t="shared" si="322"/>
        <v>294000</v>
      </c>
      <c r="W75" s="42"/>
      <c r="X75" s="42"/>
      <c r="AE75" s="41"/>
    </row>
    <row r="76" spans="1:31" ht="15" customHeight="1" x14ac:dyDescent="0.25">
      <c r="A76" s="8">
        <v>72</v>
      </c>
      <c r="B76" s="16" t="s">
        <v>146</v>
      </c>
      <c r="C76" s="9">
        <v>10</v>
      </c>
      <c r="D76" s="5" t="s">
        <v>158</v>
      </c>
      <c r="E76" s="27">
        <f t="shared" ref="E76:S76" si="332">E156+E235</f>
        <v>94000</v>
      </c>
      <c r="F76" s="27">
        <f t="shared" si="332"/>
        <v>228000</v>
      </c>
      <c r="G76" s="27">
        <f t="shared" si="332"/>
        <v>0</v>
      </c>
      <c r="H76" s="27">
        <f t="shared" si="332"/>
        <v>0</v>
      </c>
      <c r="I76" s="27">
        <f t="shared" si="332"/>
        <v>0</v>
      </c>
      <c r="J76" s="27">
        <f t="shared" si="332"/>
        <v>0</v>
      </c>
      <c r="K76" s="27">
        <f t="shared" si="332"/>
        <v>0</v>
      </c>
      <c r="L76" s="27">
        <f t="shared" si="332"/>
        <v>0</v>
      </c>
      <c r="M76" s="39">
        <f t="shared" si="332"/>
        <v>0</v>
      </c>
      <c r="N76" s="47">
        <f t="shared" ref="N76" si="333">N156+N235</f>
        <v>0</v>
      </c>
      <c r="O76" s="39">
        <f t="shared" si="332"/>
        <v>0</v>
      </c>
      <c r="P76" s="47">
        <f t="shared" ref="P76" si="334">P156+P235</f>
        <v>0</v>
      </c>
      <c r="Q76" s="39">
        <f t="shared" si="332"/>
        <v>0</v>
      </c>
      <c r="R76" s="47">
        <f t="shared" ref="R76" si="335">R156+R235</f>
        <v>0</v>
      </c>
      <c r="S76" s="39">
        <f t="shared" si="332"/>
        <v>0</v>
      </c>
      <c r="T76" s="47">
        <f t="shared" ref="T76" si="336">T156+T235</f>
        <v>0</v>
      </c>
      <c r="U76" s="28">
        <f t="shared" si="321"/>
        <v>322000</v>
      </c>
      <c r="V76" s="28">
        <f t="shared" si="322"/>
        <v>322000</v>
      </c>
      <c r="W76" s="42"/>
      <c r="X76" s="42"/>
      <c r="AE76" s="41"/>
    </row>
    <row r="77" spans="1:31" ht="15" customHeight="1" x14ac:dyDescent="0.25">
      <c r="A77" s="8">
        <v>73</v>
      </c>
      <c r="B77" s="8" t="s">
        <v>194</v>
      </c>
      <c r="C77" s="9"/>
      <c r="D77" s="5"/>
      <c r="E77" s="27"/>
      <c r="F77" s="27"/>
      <c r="G77" s="27">
        <f>AE61</f>
        <v>336451.61290322582</v>
      </c>
      <c r="H77" s="27">
        <f>AE62</f>
        <v>278133.33333333331</v>
      </c>
      <c r="I77" s="27">
        <f>AE63</f>
        <v>439064.51612903224</v>
      </c>
      <c r="J77" s="27">
        <f>AE64</f>
        <v>385733.33333333326</v>
      </c>
      <c r="K77" s="27">
        <f>AE65</f>
        <v>268903.22580645164</v>
      </c>
      <c r="L77" s="27">
        <f>AE66</f>
        <v>336129.03225806454</v>
      </c>
      <c r="M77" s="39"/>
      <c r="N77" s="47">
        <f>AE67</f>
        <v>277866.66666666669</v>
      </c>
      <c r="O77" s="39"/>
      <c r="P77" s="47">
        <f>AE68</f>
        <v>268903.22580645164</v>
      </c>
      <c r="Q77" s="39"/>
      <c r="R77" s="47">
        <f>AE69</f>
        <v>382066.66666666674</v>
      </c>
      <c r="S77" s="39"/>
      <c r="T77" s="47">
        <f>AE70</f>
        <v>302516.12903225806</v>
      </c>
      <c r="U77" s="28">
        <f t="shared" si="321"/>
        <v>2044415.0537634408</v>
      </c>
      <c r="V77" s="28">
        <f t="shared" si="322"/>
        <v>3275767.7419354841</v>
      </c>
      <c r="W77" s="42"/>
      <c r="X77" s="42"/>
      <c r="AE77" s="41"/>
    </row>
    <row r="78" spans="1:31" x14ac:dyDescent="0.25">
      <c r="D78" s="53" t="s">
        <v>15</v>
      </c>
      <c r="E78" s="54">
        <f>SUM(E5:E77)</f>
        <v>4623100</v>
      </c>
      <c r="F78" s="54">
        <f t="shared" ref="F78:T78" si="337">SUM(F5:F77)</f>
        <v>8297100</v>
      </c>
      <c r="G78" s="54">
        <f>SUM(G5:G77)</f>
        <v>6589720.8629032262</v>
      </c>
      <c r="H78" s="54">
        <f t="shared" si="337"/>
        <v>6531402.583333333</v>
      </c>
      <c r="I78" s="54">
        <f t="shared" si="337"/>
        <v>6722333.7661290318</v>
      </c>
      <c r="J78" s="54">
        <f t="shared" si="337"/>
        <v>6699002.583333333</v>
      </c>
      <c r="K78" s="54">
        <f t="shared" si="337"/>
        <v>6582172.4758064514</v>
      </c>
      <c r="L78" s="54">
        <f t="shared" si="337"/>
        <v>6649398.2822580645</v>
      </c>
      <c r="M78" s="54">
        <f>SUM(M5:M77)</f>
        <v>6043625</v>
      </c>
      <c r="N78" s="54">
        <f t="shared" si="337"/>
        <v>7122385.916666667</v>
      </c>
      <c r="O78" s="54">
        <f t="shared" si="337"/>
        <v>6043625</v>
      </c>
      <c r="P78" s="54">
        <f t="shared" si="337"/>
        <v>7113422.4758064514</v>
      </c>
      <c r="Q78" s="54">
        <f t="shared" si="337"/>
        <v>6043625</v>
      </c>
      <c r="R78" s="54">
        <f t="shared" si="337"/>
        <v>7226585.916666667</v>
      </c>
      <c r="S78" s="54">
        <f t="shared" si="337"/>
        <v>6506737.5</v>
      </c>
      <c r="T78" s="54">
        <f t="shared" si="337"/>
        <v>7615260.3790322579</v>
      </c>
      <c r="U78" s="54">
        <f>SUM(U5:U77)+SUM(X70,X68,X65:X66,X59:X61,X5:X51)+G79</f>
        <v>81154298.143583789</v>
      </c>
      <c r="V78" s="54">
        <f>SUM(E78:L78,N78,P78,R78,T78,X78)+G79</f>
        <v>86144340.331755832</v>
      </c>
      <c r="W78" s="62">
        <f>SUM(W5:W77)</f>
        <v>2850000</v>
      </c>
      <c r="X78" s="61">
        <f>SUM(X5:X77)</f>
        <v>3400000</v>
      </c>
      <c r="Y78" s="46"/>
    </row>
    <row r="79" spans="1:31" x14ac:dyDescent="0.25">
      <c r="E79" s="58"/>
      <c r="F79" s="58"/>
      <c r="G79" s="58">
        <v>972455.0898203589</v>
      </c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41"/>
    </row>
    <row r="80" spans="1:31" x14ac:dyDescent="0.25"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</row>
    <row r="83" spans="1:23" x14ac:dyDescent="0.25">
      <c r="B83" s="65" t="s">
        <v>16</v>
      </c>
      <c r="C83" s="65" t="s">
        <v>153</v>
      </c>
      <c r="D83" s="67" t="s">
        <v>1</v>
      </c>
      <c r="E83" s="68" t="s">
        <v>69</v>
      </c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70"/>
      <c r="T83" s="36"/>
      <c r="U83" s="67" t="s">
        <v>70</v>
      </c>
      <c r="V83" s="71" t="s">
        <v>187</v>
      </c>
      <c r="W83" s="71" t="s">
        <v>3</v>
      </c>
    </row>
    <row r="84" spans="1:23" x14ac:dyDescent="0.25">
      <c r="B84" s="66"/>
      <c r="C84" s="66"/>
      <c r="D84" s="67"/>
      <c r="E84" s="3" t="s">
        <v>4</v>
      </c>
      <c r="F84" s="3" t="s">
        <v>5</v>
      </c>
      <c r="G84" s="3" t="s">
        <v>6</v>
      </c>
      <c r="H84" s="3" t="s">
        <v>7</v>
      </c>
      <c r="I84" s="3" t="s">
        <v>8</v>
      </c>
      <c r="J84" s="3" t="s">
        <v>9</v>
      </c>
      <c r="K84" s="3" t="s">
        <v>10</v>
      </c>
      <c r="L84" s="3" t="s">
        <v>11</v>
      </c>
      <c r="M84" s="3" t="s">
        <v>12</v>
      </c>
      <c r="N84" s="3" t="s">
        <v>183</v>
      </c>
      <c r="O84" s="3" t="s">
        <v>13</v>
      </c>
      <c r="P84" s="3" t="s">
        <v>184</v>
      </c>
      <c r="Q84" s="3" t="s">
        <v>14</v>
      </c>
      <c r="R84" s="3" t="s">
        <v>185</v>
      </c>
      <c r="S84" s="3" t="s">
        <v>144</v>
      </c>
      <c r="T84" s="3" t="s">
        <v>195</v>
      </c>
      <c r="U84" s="67"/>
      <c r="V84" s="72"/>
      <c r="W84" s="72"/>
    </row>
    <row r="85" spans="1:23" x14ac:dyDescent="0.25">
      <c r="A85">
        <v>1</v>
      </c>
      <c r="B85" s="16" t="s">
        <v>146</v>
      </c>
      <c r="C85" s="8">
        <v>12</v>
      </c>
      <c r="D85" s="9" t="s">
        <v>41</v>
      </c>
      <c r="E85" s="27">
        <f>$AB$5</f>
        <v>68250</v>
      </c>
      <c r="F85" s="27">
        <f t="shared" ref="F85:R85" si="338">$AB$5</f>
        <v>68250</v>
      </c>
      <c r="G85" s="27">
        <f t="shared" si="338"/>
        <v>68250</v>
      </c>
      <c r="H85" s="27">
        <f t="shared" si="338"/>
        <v>68250</v>
      </c>
      <c r="I85" s="27">
        <f t="shared" si="338"/>
        <v>68250</v>
      </c>
      <c r="J85" s="27">
        <f t="shared" si="338"/>
        <v>68250</v>
      </c>
      <c r="K85" s="27">
        <f t="shared" si="338"/>
        <v>68250</v>
      </c>
      <c r="L85" s="27">
        <f t="shared" si="338"/>
        <v>68250</v>
      </c>
      <c r="M85" s="39">
        <f>$AB$32</f>
        <v>30000</v>
      </c>
      <c r="N85" s="47">
        <f t="shared" si="338"/>
        <v>68250</v>
      </c>
      <c r="O85" s="39">
        <f>$AB$32</f>
        <v>30000</v>
      </c>
      <c r="P85" s="47">
        <f t="shared" si="338"/>
        <v>68250</v>
      </c>
      <c r="Q85" s="39">
        <f>$AB$32</f>
        <v>30000</v>
      </c>
      <c r="R85" s="47">
        <f t="shared" si="338"/>
        <v>68250</v>
      </c>
      <c r="S85" s="39">
        <f>$AB$32*1.2</f>
        <v>36000</v>
      </c>
      <c r="T85" s="47">
        <f>$AB$5*1.1</f>
        <v>75075</v>
      </c>
      <c r="U85" s="28">
        <f>SUM(E85:L85,M85,O85,Q85,S85)</f>
        <v>672000</v>
      </c>
      <c r="V85" s="28">
        <f>SUM(E85:L85,N85,P85,R85,T85)</f>
        <v>825825</v>
      </c>
      <c r="W85" s="4"/>
    </row>
    <row r="86" spans="1:23" x14ac:dyDescent="0.25">
      <c r="A86">
        <v>2</v>
      </c>
      <c r="B86" s="14" t="s">
        <v>65</v>
      </c>
      <c r="C86" s="8">
        <v>12</v>
      </c>
      <c r="D86" s="9" t="s">
        <v>17</v>
      </c>
      <c r="E86" s="27">
        <f>$AB$7</f>
        <v>68250</v>
      </c>
      <c r="F86" s="27">
        <f t="shared" ref="F86:R86" si="339">$AB$7</f>
        <v>68250</v>
      </c>
      <c r="G86" s="27">
        <f t="shared" si="339"/>
        <v>68250</v>
      </c>
      <c r="H86" s="27">
        <f t="shared" si="339"/>
        <v>68250</v>
      </c>
      <c r="I86" s="27">
        <f t="shared" si="339"/>
        <v>68250</v>
      </c>
      <c r="J86" s="27">
        <f t="shared" si="339"/>
        <v>68250</v>
      </c>
      <c r="K86" s="27">
        <f t="shared" si="339"/>
        <v>68250</v>
      </c>
      <c r="L86" s="27">
        <f t="shared" si="339"/>
        <v>68250</v>
      </c>
      <c r="M86" s="39">
        <f>$AB$34</f>
        <v>80000</v>
      </c>
      <c r="N86" s="47">
        <f t="shared" si="339"/>
        <v>68250</v>
      </c>
      <c r="O86" s="39">
        <f>$AB$34</f>
        <v>80000</v>
      </c>
      <c r="P86" s="47">
        <f t="shared" si="339"/>
        <v>68250</v>
      </c>
      <c r="Q86" s="39">
        <f>$AB$34</f>
        <v>80000</v>
      </c>
      <c r="R86" s="47">
        <f t="shared" si="339"/>
        <v>68250</v>
      </c>
      <c r="S86" s="39">
        <f>$AB$34*1.1</f>
        <v>88000</v>
      </c>
      <c r="T86" s="47">
        <f>$AB$7*1.1</f>
        <v>75075</v>
      </c>
      <c r="U86" s="28">
        <f t="shared" ref="U86:U149" si="340">SUM(E86:L86,M86,O86,Q86,S86)</f>
        <v>874000</v>
      </c>
      <c r="V86" s="28">
        <f t="shared" ref="V86:V149" si="341">SUM(E86:L86,N86,P86,R86,T86)</f>
        <v>825825</v>
      </c>
      <c r="W86" s="4"/>
    </row>
    <row r="87" spans="1:23" x14ac:dyDescent="0.25">
      <c r="A87">
        <v>3</v>
      </c>
      <c r="B87" s="16" t="s">
        <v>146</v>
      </c>
      <c r="C87" s="8">
        <v>10</v>
      </c>
      <c r="D87" s="9" t="s">
        <v>18</v>
      </c>
      <c r="E87" s="27">
        <f>$AB$5</f>
        <v>68250</v>
      </c>
      <c r="F87" s="27">
        <f t="shared" ref="F87:R87" si="342">$AB$5</f>
        <v>68250</v>
      </c>
      <c r="G87" s="27">
        <f t="shared" si="342"/>
        <v>68250</v>
      </c>
      <c r="H87" s="27">
        <f t="shared" si="342"/>
        <v>68250</v>
      </c>
      <c r="I87" s="27">
        <f t="shared" si="342"/>
        <v>68250</v>
      </c>
      <c r="J87" s="27">
        <f t="shared" si="342"/>
        <v>68250</v>
      </c>
      <c r="K87" s="27">
        <f t="shared" si="342"/>
        <v>68250</v>
      </c>
      <c r="L87" s="27">
        <f t="shared" si="342"/>
        <v>68250</v>
      </c>
      <c r="M87" s="39">
        <f>$AB$32</f>
        <v>30000</v>
      </c>
      <c r="N87" s="47">
        <f t="shared" si="342"/>
        <v>68250</v>
      </c>
      <c r="O87" s="39">
        <f>$AB$32</f>
        <v>30000</v>
      </c>
      <c r="P87" s="47">
        <f t="shared" si="342"/>
        <v>68250</v>
      </c>
      <c r="Q87" s="39">
        <f>$AB$32</f>
        <v>30000</v>
      </c>
      <c r="R87" s="47">
        <f t="shared" si="342"/>
        <v>68250</v>
      </c>
      <c r="S87" s="39">
        <f>$AB$32*1.2</f>
        <v>36000</v>
      </c>
      <c r="T87" s="47">
        <f>$AB$5*1.1</f>
        <v>75075</v>
      </c>
      <c r="U87" s="28">
        <f t="shared" si="340"/>
        <v>672000</v>
      </c>
      <c r="V87" s="28">
        <f t="shared" si="341"/>
        <v>825825</v>
      </c>
      <c r="W87" s="4"/>
    </row>
    <row r="88" spans="1:23" x14ac:dyDescent="0.25">
      <c r="A88">
        <v>4</v>
      </c>
      <c r="B88" s="16" t="s">
        <v>146</v>
      </c>
      <c r="C88" s="8">
        <v>12</v>
      </c>
      <c r="D88" s="9" t="s">
        <v>42</v>
      </c>
      <c r="E88" s="27">
        <f>$AB$5</f>
        <v>68250</v>
      </c>
      <c r="F88" s="27">
        <f t="shared" ref="F88:R90" si="343">$AB$5</f>
        <v>68250</v>
      </c>
      <c r="G88" s="27">
        <f t="shared" si="343"/>
        <v>68250</v>
      </c>
      <c r="H88" s="27">
        <f t="shared" si="343"/>
        <v>68250</v>
      </c>
      <c r="I88" s="27">
        <f t="shared" si="343"/>
        <v>68250</v>
      </c>
      <c r="J88" s="27">
        <f t="shared" si="343"/>
        <v>68250</v>
      </c>
      <c r="K88" s="27">
        <f t="shared" si="343"/>
        <v>68250</v>
      </c>
      <c r="L88" s="27">
        <f t="shared" si="343"/>
        <v>68250</v>
      </c>
      <c r="M88" s="39">
        <f>$AB$32</f>
        <v>30000</v>
      </c>
      <c r="N88" s="47">
        <f t="shared" si="343"/>
        <v>68250</v>
      </c>
      <c r="O88" s="39">
        <f>$AB$32</f>
        <v>30000</v>
      </c>
      <c r="P88" s="47">
        <f t="shared" si="343"/>
        <v>68250</v>
      </c>
      <c r="Q88" s="39">
        <f>$AB$32</f>
        <v>30000</v>
      </c>
      <c r="R88" s="47">
        <f t="shared" si="343"/>
        <v>68250</v>
      </c>
      <c r="S88" s="39">
        <f>$AB$32*1.2</f>
        <v>36000</v>
      </c>
      <c r="T88" s="47">
        <f>$AB$5*1.1</f>
        <v>75075</v>
      </c>
      <c r="U88" s="28">
        <f t="shared" si="340"/>
        <v>672000</v>
      </c>
      <c r="V88" s="28">
        <f t="shared" si="341"/>
        <v>825825</v>
      </c>
      <c r="W88" s="4"/>
    </row>
    <row r="89" spans="1:23" x14ac:dyDescent="0.25">
      <c r="A89">
        <v>5</v>
      </c>
      <c r="B89" s="14" t="s">
        <v>63</v>
      </c>
      <c r="C89" s="8">
        <v>10</v>
      </c>
      <c r="D89" s="10" t="s">
        <v>43</v>
      </c>
      <c r="E89" s="27">
        <f>$AB$8</f>
        <v>68250</v>
      </c>
      <c r="F89" s="27">
        <f t="shared" ref="F89:R89" si="344">$AB$8</f>
        <v>68250</v>
      </c>
      <c r="G89" s="27">
        <f t="shared" si="344"/>
        <v>68250</v>
      </c>
      <c r="H89" s="27">
        <f t="shared" si="344"/>
        <v>68250</v>
      </c>
      <c r="I89" s="27">
        <f t="shared" si="344"/>
        <v>68250</v>
      </c>
      <c r="J89" s="27">
        <f t="shared" si="344"/>
        <v>68250</v>
      </c>
      <c r="K89" s="27">
        <f t="shared" si="344"/>
        <v>68250</v>
      </c>
      <c r="L89" s="27">
        <f t="shared" si="344"/>
        <v>68250</v>
      </c>
      <c r="M89" s="39">
        <f>$AB$35</f>
        <v>80000</v>
      </c>
      <c r="N89" s="47">
        <f t="shared" si="344"/>
        <v>68250</v>
      </c>
      <c r="O89" s="39">
        <f>$AB$35</f>
        <v>80000</v>
      </c>
      <c r="P89" s="47">
        <f t="shared" si="344"/>
        <v>68250</v>
      </c>
      <c r="Q89" s="39">
        <f>$AB$35</f>
        <v>80000</v>
      </c>
      <c r="R89" s="47">
        <f t="shared" si="344"/>
        <v>68250</v>
      </c>
      <c r="S89" s="39">
        <f>$AB$35*1.1</f>
        <v>88000</v>
      </c>
      <c r="T89" s="47">
        <f>$AB$8*1.1</f>
        <v>75075</v>
      </c>
      <c r="U89" s="28">
        <f t="shared" si="340"/>
        <v>874000</v>
      </c>
      <c r="V89" s="28">
        <f t="shared" si="341"/>
        <v>825825</v>
      </c>
      <c r="W89" s="4"/>
    </row>
    <row r="90" spans="1:23" x14ac:dyDescent="0.25">
      <c r="A90">
        <v>6</v>
      </c>
      <c r="B90" s="16" t="s">
        <v>146</v>
      </c>
      <c r="C90" s="8">
        <v>10</v>
      </c>
      <c r="D90" s="9" t="s">
        <v>19</v>
      </c>
      <c r="E90" s="27">
        <f>$AB$5</f>
        <v>68250</v>
      </c>
      <c r="F90" s="27">
        <f t="shared" si="343"/>
        <v>68250</v>
      </c>
      <c r="G90" s="27">
        <f t="shared" si="343"/>
        <v>68250</v>
      </c>
      <c r="H90" s="27">
        <f t="shared" si="343"/>
        <v>68250</v>
      </c>
      <c r="I90" s="27">
        <f t="shared" si="343"/>
        <v>68250</v>
      </c>
      <c r="J90" s="27">
        <f t="shared" si="343"/>
        <v>68250</v>
      </c>
      <c r="K90" s="27">
        <f t="shared" si="343"/>
        <v>68250</v>
      </c>
      <c r="L90" s="27">
        <f t="shared" si="343"/>
        <v>68250</v>
      </c>
      <c r="M90" s="39">
        <f>$AB$32</f>
        <v>30000</v>
      </c>
      <c r="N90" s="47">
        <f t="shared" si="343"/>
        <v>68250</v>
      </c>
      <c r="O90" s="39">
        <f>$AB$32</f>
        <v>30000</v>
      </c>
      <c r="P90" s="47">
        <f t="shared" si="343"/>
        <v>68250</v>
      </c>
      <c r="Q90" s="39">
        <f>$AB$32</f>
        <v>30000</v>
      </c>
      <c r="R90" s="47">
        <f t="shared" si="343"/>
        <v>68250</v>
      </c>
      <c r="S90" s="39">
        <f>$AB$32*1.2</f>
        <v>36000</v>
      </c>
      <c r="T90" s="47">
        <f>$AB$5*1.1</f>
        <v>75075</v>
      </c>
      <c r="U90" s="28">
        <f t="shared" si="340"/>
        <v>672000</v>
      </c>
      <c r="V90" s="28">
        <f t="shared" si="341"/>
        <v>825825</v>
      </c>
      <c r="W90" s="4"/>
    </row>
    <row r="91" spans="1:23" x14ac:dyDescent="0.25">
      <c r="A91">
        <v>7</v>
      </c>
      <c r="B91" s="15" t="s">
        <v>67</v>
      </c>
      <c r="C91" s="8">
        <v>8</v>
      </c>
      <c r="D91" s="10" t="s">
        <v>44</v>
      </c>
      <c r="E91" s="27">
        <f>$AB$13</f>
        <v>68250</v>
      </c>
      <c r="F91" s="27">
        <f t="shared" ref="F91:R91" si="345">$AB$13</f>
        <v>68250</v>
      </c>
      <c r="G91" s="27">
        <f t="shared" si="345"/>
        <v>68250</v>
      </c>
      <c r="H91" s="27">
        <f t="shared" si="345"/>
        <v>68250</v>
      </c>
      <c r="I91" s="27">
        <f t="shared" si="345"/>
        <v>68250</v>
      </c>
      <c r="J91" s="27">
        <f t="shared" si="345"/>
        <v>68250</v>
      </c>
      <c r="K91" s="27">
        <f t="shared" si="345"/>
        <v>68250</v>
      </c>
      <c r="L91" s="27">
        <f t="shared" si="345"/>
        <v>68250</v>
      </c>
      <c r="M91" s="39">
        <f>$AB$40</f>
        <v>75000</v>
      </c>
      <c r="N91" s="47">
        <f t="shared" si="345"/>
        <v>68250</v>
      </c>
      <c r="O91" s="39">
        <f>$AB$40</f>
        <v>75000</v>
      </c>
      <c r="P91" s="47">
        <f t="shared" si="345"/>
        <v>68250</v>
      </c>
      <c r="Q91" s="39">
        <f>$AB$40</f>
        <v>75000</v>
      </c>
      <c r="R91" s="47">
        <f t="shared" si="345"/>
        <v>68250</v>
      </c>
      <c r="S91" s="39">
        <f>$AB$40*1.1</f>
        <v>82500</v>
      </c>
      <c r="T91" s="47">
        <f>$AB$13*1.1</f>
        <v>75075</v>
      </c>
      <c r="U91" s="28">
        <f t="shared" si="340"/>
        <v>853500</v>
      </c>
      <c r="V91" s="28">
        <f t="shared" si="341"/>
        <v>825825</v>
      </c>
      <c r="W91" s="4"/>
    </row>
    <row r="92" spans="1:23" x14ac:dyDescent="0.25">
      <c r="A92">
        <v>8</v>
      </c>
      <c r="B92" s="14" t="s">
        <v>64</v>
      </c>
      <c r="C92" s="8">
        <v>12</v>
      </c>
      <c r="D92" s="11" t="s">
        <v>20</v>
      </c>
      <c r="E92" s="27">
        <f>$AB$9</f>
        <v>68250</v>
      </c>
      <c r="F92" s="27">
        <f t="shared" ref="F92:R92" si="346">$AB$9</f>
        <v>68250</v>
      </c>
      <c r="G92" s="27">
        <f t="shared" si="346"/>
        <v>68250</v>
      </c>
      <c r="H92" s="27">
        <f t="shared" si="346"/>
        <v>68250</v>
      </c>
      <c r="I92" s="27">
        <f t="shared" si="346"/>
        <v>68250</v>
      </c>
      <c r="J92" s="27">
        <f t="shared" si="346"/>
        <v>68250</v>
      </c>
      <c r="K92" s="27">
        <f t="shared" si="346"/>
        <v>68250</v>
      </c>
      <c r="L92" s="27">
        <f t="shared" si="346"/>
        <v>68250</v>
      </c>
      <c r="M92" s="39">
        <f>$AB$36</f>
        <v>80000</v>
      </c>
      <c r="N92" s="47">
        <f t="shared" si="346"/>
        <v>68250</v>
      </c>
      <c r="O92" s="39">
        <f>$AB$36</f>
        <v>80000</v>
      </c>
      <c r="P92" s="47">
        <f t="shared" si="346"/>
        <v>68250</v>
      </c>
      <c r="Q92" s="39">
        <f>$AB$36</f>
        <v>80000</v>
      </c>
      <c r="R92" s="47">
        <f t="shared" si="346"/>
        <v>68250</v>
      </c>
      <c r="S92" s="39">
        <f>$AB$36*1.1</f>
        <v>88000</v>
      </c>
      <c r="T92" s="47">
        <f>$AB$9*1.1</f>
        <v>75075</v>
      </c>
      <c r="U92" s="28">
        <f t="shared" si="340"/>
        <v>874000</v>
      </c>
      <c r="V92" s="28">
        <f t="shared" si="341"/>
        <v>825825</v>
      </c>
      <c r="W92" s="4"/>
    </row>
    <row r="93" spans="1:23" x14ac:dyDescent="0.25">
      <c r="A93">
        <v>9</v>
      </c>
      <c r="B93" s="16" t="s">
        <v>146</v>
      </c>
      <c r="C93" s="8">
        <v>12</v>
      </c>
      <c r="D93" s="11" t="s">
        <v>45</v>
      </c>
      <c r="E93" s="27">
        <f>$AB$5</f>
        <v>68250</v>
      </c>
      <c r="F93" s="27">
        <f t="shared" ref="F93:R93" si="347">$AB$5</f>
        <v>68250</v>
      </c>
      <c r="G93" s="27">
        <f t="shared" si="347"/>
        <v>68250</v>
      </c>
      <c r="H93" s="27">
        <f t="shared" si="347"/>
        <v>68250</v>
      </c>
      <c r="I93" s="27">
        <f t="shared" si="347"/>
        <v>68250</v>
      </c>
      <c r="J93" s="27">
        <f t="shared" si="347"/>
        <v>68250</v>
      </c>
      <c r="K93" s="27">
        <f t="shared" si="347"/>
        <v>68250</v>
      </c>
      <c r="L93" s="27">
        <f t="shared" si="347"/>
        <v>68250</v>
      </c>
      <c r="M93" s="39">
        <f>$AB$32</f>
        <v>30000</v>
      </c>
      <c r="N93" s="47">
        <f t="shared" si="347"/>
        <v>68250</v>
      </c>
      <c r="O93" s="39">
        <f>$AB$32</f>
        <v>30000</v>
      </c>
      <c r="P93" s="47">
        <f t="shared" si="347"/>
        <v>68250</v>
      </c>
      <c r="Q93" s="39">
        <f>$AB$32</f>
        <v>30000</v>
      </c>
      <c r="R93" s="47">
        <f t="shared" si="347"/>
        <v>68250</v>
      </c>
      <c r="S93" s="39">
        <f>$AB$32*1.2</f>
        <v>36000</v>
      </c>
      <c r="T93" s="47">
        <f>$AB$5*1.1</f>
        <v>75075</v>
      </c>
      <c r="U93" s="28">
        <f t="shared" si="340"/>
        <v>672000</v>
      </c>
      <c r="V93" s="28">
        <f t="shared" si="341"/>
        <v>825825</v>
      </c>
      <c r="W93" s="4"/>
    </row>
    <row r="94" spans="1:23" x14ac:dyDescent="0.25">
      <c r="A94">
        <v>10</v>
      </c>
      <c r="B94" s="15" t="s">
        <v>60</v>
      </c>
      <c r="C94" s="8">
        <v>10</v>
      </c>
      <c r="D94" s="9" t="s">
        <v>21</v>
      </c>
      <c r="E94" s="27">
        <f>$AB$16</f>
        <v>68250</v>
      </c>
      <c r="F94" s="27">
        <f t="shared" ref="F94:R94" si="348">$AB$16</f>
        <v>68250</v>
      </c>
      <c r="G94" s="27">
        <f t="shared" si="348"/>
        <v>68250</v>
      </c>
      <c r="H94" s="27">
        <f t="shared" si="348"/>
        <v>68250</v>
      </c>
      <c r="I94" s="27">
        <f t="shared" si="348"/>
        <v>68250</v>
      </c>
      <c r="J94" s="27">
        <f t="shared" si="348"/>
        <v>68250</v>
      </c>
      <c r="K94" s="27">
        <f t="shared" si="348"/>
        <v>68250</v>
      </c>
      <c r="L94" s="27">
        <f t="shared" si="348"/>
        <v>68250</v>
      </c>
      <c r="M94" s="39">
        <f>$AB$43</f>
        <v>75000</v>
      </c>
      <c r="N94" s="47">
        <f t="shared" si="348"/>
        <v>68250</v>
      </c>
      <c r="O94" s="39">
        <f>$AB$43</f>
        <v>75000</v>
      </c>
      <c r="P94" s="47">
        <f t="shared" si="348"/>
        <v>68250</v>
      </c>
      <c r="Q94" s="39">
        <f>$AB$43</f>
        <v>75000</v>
      </c>
      <c r="R94" s="47">
        <f t="shared" si="348"/>
        <v>68250</v>
      </c>
      <c r="S94" s="39">
        <f>$AB$43*1.1</f>
        <v>82500</v>
      </c>
      <c r="T94" s="47">
        <f>$AB$16*1.1</f>
        <v>75075</v>
      </c>
      <c r="U94" s="28">
        <f t="shared" si="340"/>
        <v>853500</v>
      </c>
      <c r="V94" s="28">
        <f t="shared" si="341"/>
        <v>825825</v>
      </c>
      <c r="W94" s="4"/>
    </row>
    <row r="95" spans="1:23" x14ac:dyDescent="0.25">
      <c r="A95">
        <v>11</v>
      </c>
      <c r="B95" s="25" t="s">
        <v>155</v>
      </c>
      <c r="C95" s="8">
        <v>8</v>
      </c>
      <c r="D95" s="9" t="s">
        <v>142</v>
      </c>
      <c r="E95" s="27">
        <f>$AB$22</f>
        <v>150000</v>
      </c>
      <c r="F95" s="27">
        <f t="shared" ref="F95:R95" si="349">$AB$22</f>
        <v>150000</v>
      </c>
      <c r="G95" s="27">
        <f t="shared" si="349"/>
        <v>150000</v>
      </c>
      <c r="H95" s="27">
        <f t="shared" si="349"/>
        <v>150000</v>
      </c>
      <c r="I95" s="27">
        <f t="shared" si="349"/>
        <v>150000</v>
      </c>
      <c r="J95" s="27">
        <f t="shared" si="349"/>
        <v>150000</v>
      </c>
      <c r="K95" s="27">
        <f t="shared" si="349"/>
        <v>150000</v>
      </c>
      <c r="L95" s="27">
        <f t="shared" si="349"/>
        <v>150000</v>
      </c>
      <c r="M95" s="39">
        <f>$AB$49</f>
        <v>150000</v>
      </c>
      <c r="N95" s="47">
        <f t="shared" si="349"/>
        <v>150000</v>
      </c>
      <c r="O95" s="39">
        <f>$AB$49</f>
        <v>150000</v>
      </c>
      <c r="P95" s="47">
        <f t="shared" si="349"/>
        <v>150000</v>
      </c>
      <c r="Q95" s="39">
        <f>$AB$49</f>
        <v>150000</v>
      </c>
      <c r="R95" s="47">
        <f t="shared" si="349"/>
        <v>150000</v>
      </c>
      <c r="S95" s="39">
        <f>$AB$49*1.1</f>
        <v>165000</v>
      </c>
      <c r="T95" s="47">
        <f>$AB$22*1.1</f>
        <v>165000</v>
      </c>
      <c r="U95" s="28">
        <f t="shared" si="340"/>
        <v>1815000</v>
      </c>
      <c r="V95" s="28">
        <f t="shared" si="341"/>
        <v>1815000</v>
      </c>
      <c r="W95" s="4"/>
    </row>
    <row r="96" spans="1:23" x14ac:dyDescent="0.25">
      <c r="A96">
        <v>12</v>
      </c>
      <c r="B96" s="15" t="s">
        <v>67</v>
      </c>
      <c r="C96" s="8">
        <v>10</v>
      </c>
      <c r="D96" s="9" t="s">
        <v>46</v>
      </c>
      <c r="E96" s="27">
        <f>$AB$13</f>
        <v>68250</v>
      </c>
      <c r="F96" s="27">
        <f t="shared" ref="F96:R96" si="350">$AB$13</f>
        <v>68250</v>
      </c>
      <c r="G96" s="27">
        <f t="shared" si="350"/>
        <v>68250</v>
      </c>
      <c r="H96" s="27">
        <f t="shared" si="350"/>
        <v>68250</v>
      </c>
      <c r="I96" s="27">
        <f t="shared" si="350"/>
        <v>68250</v>
      </c>
      <c r="J96" s="27">
        <f t="shared" si="350"/>
        <v>68250</v>
      </c>
      <c r="K96" s="27">
        <f t="shared" si="350"/>
        <v>68250</v>
      </c>
      <c r="L96" s="27">
        <f t="shared" si="350"/>
        <v>68250</v>
      </c>
      <c r="M96" s="39">
        <f>$AB$40</f>
        <v>75000</v>
      </c>
      <c r="N96" s="47">
        <f t="shared" si="350"/>
        <v>68250</v>
      </c>
      <c r="O96" s="39">
        <f>$AB$40</f>
        <v>75000</v>
      </c>
      <c r="P96" s="47">
        <f t="shared" si="350"/>
        <v>68250</v>
      </c>
      <c r="Q96" s="39">
        <f>$AB$40</f>
        <v>75000</v>
      </c>
      <c r="R96" s="47">
        <f t="shared" si="350"/>
        <v>68250</v>
      </c>
      <c r="S96" s="39">
        <f>$AB$40*1.1</f>
        <v>82500</v>
      </c>
      <c r="T96" s="47">
        <f>$AB$13*1.1</f>
        <v>75075</v>
      </c>
      <c r="U96" s="28">
        <f t="shared" si="340"/>
        <v>853500</v>
      </c>
      <c r="V96" s="28">
        <f t="shared" si="341"/>
        <v>825825</v>
      </c>
      <c r="W96" s="4"/>
    </row>
    <row r="97" spans="1:23" x14ac:dyDescent="0.25">
      <c r="A97">
        <v>13</v>
      </c>
      <c r="B97" s="16" t="s">
        <v>146</v>
      </c>
      <c r="C97" s="8">
        <v>10</v>
      </c>
      <c r="D97" s="11" t="s">
        <v>47</v>
      </c>
      <c r="E97" s="27">
        <f>$AB$5</f>
        <v>68250</v>
      </c>
      <c r="F97" s="27">
        <f t="shared" ref="F97:R102" si="351">$AB$5</f>
        <v>68250</v>
      </c>
      <c r="G97" s="27">
        <f t="shared" si="351"/>
        <v>68250</v>
      </c>
      <c r="H97" s="27">
        <f t="shared" si="351"/>
        <v>68250</v>
      </c>
      <c r="I97" s="27">
        <f t="shared" si="351"/>
        <v>68250</v>
      </c>
      <c r="J97" s="27">
        <f t="shared" si="351"/>
        <v>68250</v>
      </c>
      <c r="K97" s="27">
        <f t="shared" si="351"/>
        <v>68250</v>
      </c>
      <c r="L97" s="27">
        <f t="shared" si="351"/>
        <v>68250</v>
      </c>
      <c r="M97" s="39">
        <f>$AB$32</f>
        <v>30000</v>
      </c>
      <c r="N97" s="47">
        <f t="shared" si="351"/>
        <v>68250</v>
      </c>
      <c r="O97" s="39">
        <f>$AB$32</f>
        <v>30000</v>
      </c>
      <c r="P97" s="47">
        <f t="shared" si="351"/>
        <v>68250</v>
      </c>
      <c r="Q97" s="39">
        <f>$AB$32</f>
        <v>30000</v>
      </c>
      <c r="R97" s="47">
        <f t="shared" si="351"/>
        <v>68250</v>
      </c>
      <c r="S97" s="39">
        <f>$AB$32*1.2</f>
        <v>36000</v>
      </c>
      <c r="T97" s="47">
        <f>$AB$5*1.1</f>
        <v>75075</v>
      </c>
      <c r="U97" s="28">
        <f t="shared" si="340"/>
        <v>672000</v>
      </c>
      <c r="V97" s="28">
        <f t="shared" si="341"/>
        <v>825825</v>
      </c>
      <c r="W97" s="4"/>
    </row>
    <row r="98" spans="1:23" x14ac:dyDescent="0.25">
      <c r="A98">
        <v>14</v>
      </c>
      <c r="B98" s="14" t="s">
        <v>65</v>
      </c>
      <c r="C98" s="8">
        <v>10</v>
      </c>
      <c r="D98" s="11" t="s">
        <v>48</v>
      </c>
      <c r="E98" s="27">
        <f>$AB$7</f>
        <v>68250</v>
      </c>
      <c r="F98" s="27">
        <f t="shared" ref="F98:R98" si="352">$AB$7</f>
        <v>68250</v>
      </c>
      <c r="G98" s="27">
        <f t="shared" si="352"/>
        <v>68250</v>
      </c>
      <c r="H98" s="27">
        <f t="shared" si="352"/>
        <v>68250</v>
      </c>
      <c r="I98" s="27">
        <f t="shared" si="352"/>
        <v>68250</v>
      </c>
      <c r="J98" s="27">
        <f t="shared" si="352"/>
        <v>68250</v>
      </c>
      <c r="K98" s="27">
        <f t="shared" si="352"/>
        <v>68250</v>
      </c>
      <c r="L98" s="27">
        <f t="shared" si="352"/>
        <v>68250</v>
      </c>
      <c r="M98" s="39">
        <f>$AB$34</f>
        <v>80000</v>
      </c>
      <c r="N98" s="47">
        <f t="shared" si="352"/>
        <v>68250</v>
      </c>
      <c r="O98" s="39">
        <f>$AB$34</f>
        <v>80000</v>
      </c>
      <c r="P98" s="47">
        <f t="shared" si="352"/>
        <v>68250</v>
      </c>
      <c r="Q98" s="39">
        <f>$AB$34</f>
        <v>80000</v>
      </c>
      <c r="R98" s="47">
        <f t="shared" si="352"/>
        <v>68250</v>
      </c>
      <c r="S98" s="39">
        <f>$AB$34*1.1</f>
        <v>88000</v>
      </c>
      <c r="T98" s="47">
        <f>$AB$7*1.1</f>
        <v>75075</v>
      </c>
      <c r="U98" s="28">
        <f t="shared" si="340"/>
        <v>874000</v>
      </c>
      <c r="V98" s="28">
        <f t="shared" si="341"/>
        <v>825825</v>
      </c>
      <c r="W98" s="4"/>
    </row>
    <row r="99" spans="1:23" x14ac:dyDescent="0.25">
      <c r="A99">
        <v>15</v>
      </c>
      <c r="B99" s="15" t="s">
        <v>60</v>
      </c>
      <c r="C99" s="30">
        <v>10</v>
      </c>
      <c r="D99" s="12" t="s">
        <v>22</v>
      </c>
      <c r="E99" s="27">
        <f>$AB$16</f>
        <v>68250</v>
      </c>
      <c r="F99" s="27">
        <f t="shared" ref="F99:R99" si="353">$AB$16</f>
        <v>68250</v>
      </c>
      <c r="G99" s="27">
        <f t="shared" si="353"/>
        <v>68250</v>
      </c>
      <c r="H99" s="27">
        <f t="shared" si="353"/>
        <v>68250</v>
      </c>
      <c r="I99" s="27">
        <f t="shared" si="353"/>
        <v>68250</v>
      </c>
      <c r="J99" s="27">
        <f t="shared" si="353"/>
        <v>68250</v>
      </c>
      <c r="K99" s="27">
        <f t="shared" si="353"/>
        <v>68250</v>
      </c>
      <c r="L99" s="27">
        <f t="shared" si="353"/>
        <v>68250</v>
      </c>
      <c r="M99" s="39">
        <f>$AB$43</f>
        <v>75000</v>
      </c>
      <c r="N99" s="47">
        <f t="shared" si="353"/>
        <v>68250</v>
      </c>
      <c r="O99" s="39">
        <f>$AB$43</f>
        <v>75000</v>
      </c>
      <c r="P99" s="47">
        <f t="shared" si="353"/>
        <v>68250</v>
      </c>
      <c r="Q99" s="39">
        <f>$AB$43</f>
        <v>75000</v>
      </c>
      <c r="R99" s="47">
        <f t="shared" si="353"/>
        <v>68250</v>
      </c>
      <c r="S99" s="39">
        <f>$AB$43*1.1</f>
        <v>82500</v>
      </c>
      <c r="T99" s="47">
        <f>$AB$16*1.1</f>
        <v>75075</v>
      </c>
      <c r="U99" s="28">
        <f t="shared" si="340"/>
        <v>853500</v>
      </c>
      <c r="V99" s="28">
        <f t="shared" si="341"/>
        <v>825825</v>
      </c>
      <c r="W99" s="4"/>
    </row>
    <row r="100" spans="1:23" x14ac:dyDescent="0.25">
      <c r="A100">
        <v>16</v>
      </c>
      <c r="B100" s="16" t="s">
        <v>146</v>
      </c>
      <c r="C100" s="30">
        <v>10</v>
      </c>
      <c r="D100" s="12" t="s">
        <v>49</v>
      </c>
      <c r="E100" s="27">
        <f>$AB$5</f>
        <v>68250</v>
      </c>
      <c r="F100" s="27">
        <f t="shared" si="351"/>
        <v>68250</v>
      </c>
      <c r="G100" s="27">
        <f t="shared" si="351"/>
        <v>68250</v>
      </c>
      <c r="H100" s="27">
        <f t="shared" si="351"/>
        <v>68250</v>
      </c>
      <c r="I100" s="27">
        <f t="shared" si="351"/>
        <v>68250</v>
      </c>
      <c r="J100" s="27">
        <f t="shared" si="351"/>
        <v>68250</v>
      </c>
      <c r="K100" s="27">
        <f t="shared" si="351"/>
        <v>68250</v>
      </c>
      <c r="L100" s="27">
        <f t="shared" si="351"/>
        <v>68250</v>
      </c>
      <c r="M100" s="39">
        <f>$AB$32</f>
        <v>30000</v>
      </c>
      <c r="N100" s="47">
        <f t="shared" si="351"/>
        <v>68250</v>
      </c>
      <c r="O100" s="39">
        <f>$AB$32</f>
        <v>30000</v>
      </c>
      <c r="P100" s="47">
        <f t="shared" si="351"/>
        <v>68250</v>
      </c>
      <c r="Q100" s="39">
        <f>$AB$32</f>
        <v>30000</v>
      </c>
      <c r="R100" s="47">
        <f t="shared" si="351"/>
        <v>68250</v>
      </c>
      <c r="S100" s="39">
        <f t="shared" ref="S100:S102" si="354">$AB$32*1.2</f>
        <v>36000</v>
      </c>
      <c r="T100" s="47">
        <f>$AB$5*1.1</f>
        <v>75075</v>
      </c>
      <c r="U100" s="28">
        <f t="shared" si="340"/>
        <v>672000</v>
      </c>
      <c r="V100" s="28">
        <f t="shared" si="341"/>
        <v>825825</v>
      </c>
      <c r="W100" s="4"/>
    </row>
    <row r="101" spans="1:23" x14ac:dyDescent="0.25">
      <c r="A101">
        <v>17</v>
      </c>
      <c r="B101" s="16" t="s">
        <v>146</v>
      </c>
      <c r="C101" s="8">
        <v>10</v>
      </c>
      <c r="D101" s="9" t="s">
        <v>23</v>
      </c>
      <c r="E101" s="27">
        <f>$AB$5</f>
        <v>68250</v>
      </c>
      <c r="F101" s="27">
        <f t="shared" si="351"/>
        <v>68250</v>
      </c>
      <c r="G101" s="27">
        <f t="shared" si="351"/>
        <v>68250</v>
      </c>
      <c r="H101" s="27">
        <f t="shared" si="351"/>
        <v>68250</v>
      </c>
      <c r="I101" s="27">
        <f t="shared" si="351"/>
        <v>68250</v>
      </c>
      <c r="J101" s="27">
        <f t="shared" si="351"/>
        <v>68250</v>
      </c>
      <c r="K101" s="27">
        <f t="shared" si="351"/>
        <v>68250</v>
      </c>
      <c r="L101" s="27">
        <f t="shared" si="351"/>
        <v>68250</v>
      </c>
      <c r="M101" s="39">
        <f>$AB$32</f>
        <v>30000</v>
      </c>
      <c r="N101" s="47">
        <f t="shared" si="351"/>
        <v>68250</v>
      </c>
      <c r="O101" s="39">
        <f>$AB$32</f>
        <v>30000</v>
      </c>
      <c r="P101" s="47">
        <f t="shared" si="351"/>
        <v>68250</v>
      </c>
      <c r="Q101" s="39">
        <f>$AB$32</f>
        <v>30000</v>
      </c>
      <c r="R101" s="47">
        <f t="shared" si="351"/>
        <v>68250</v>
      </c>
      <c r="S101" s="39">
        <f t="shared" si="354"/>
        <v>36000</v>
      </c>
      <c r="T101" s="47">
        <f>$AB$5*1.1</f>
        <v>75075</v>
      </c>
      <c r="U101" s="28">
        <f t="shared" si="340"/>
        <v>672000</v>
      </c>
      <c r="V101" s="28">
        <f t="shared" si="341"/>
        <v>825825</v>
      </c>
      <c r="W101" s="4"/>
    </row>
    <row r="102" spans="1:23" x14ac:dyDescent="0.25">
      <c r="A102">
        <v>18</v>
      </c>
      <c r="B102" s="16" t="s">
        <v>146</v>
      </c>
      <c r="C102" s="8">
        <v>10</v>
      </c>
      <c r="D102" s="9" t="s">
        <v>24</v>
      </c>
      <c r="E102" s="27">
        <f>$AB$5</f>
        <v>68250</v>
      </c>
      <c r="F102" s="27">
        <f t="shared" si="351"/>
        <v>68250</v>
      </c>
      <c r="G102" s="27">
        <f t="shared" si="351"/>
        <v>68250</v>
      </c>
      <c r="H102" s="27">
        <f t="shared" si="351"/>
        <v>68250</v>
      </c>
      <c r="I102" s="27">
        <f t="shared" si="351"/>
        <v>68250</v>
      </c>
      <c r="J102" s="27">
        <f t="shared" si="351"/>
        <v>68250</v>
      </c>
      <c r="K102" s="27">
        <f t="shared" si="351"/>
        <v>68250</v>
      </c>
      <c r="L102" s="27">
        <f t="shared" si="351"/>
        <v>68250</v>
      </c>
      <c r="M102" s="39">
        <f>$AB$32</f>
        <v>30000</v>
      </c>
      <c r="N102" s="47">
        <f t="shared" si="351"/>
        <v>68250</v>
      </c>
      <c r="O102" s="39">
        <f>$AB$32</f>
        <v>30000</v>
      </c>
      <c r="P102" s="47">
        <f t="shared" si="351"/>
        <v>68250</v>
      </c>
      <c r="Q102" s="39">
        <f>$AB$32</f>
        <v>30000</v>
      </c>
      <c r="R102" s="47">
        <f t="shared" si="351"/>
        <v>68250</v>
      </c>
      <c r="S102" s="39">
        <f t="shared" si="354"/>
        <v>36000</v>
      </c>
      <c r="T102" s="47">
        <f>$AB$5*1.1</f>
        <v>75075</v>
      </c>
      <c r="U102" s="28">
        <f t="shared" si="340"/>
        <v>672000</v>
      </c>
      <c r="V102" s="28">
        <f t="shared" si="341"/>
        <v>825825</v>
      </c>
      <c r="W102" s="4"/>
    </row>
    <row r="103" spans="1:23" x14ac:dyDescent="0.25">
      <c r="A103">
        <v>19</v>
      </c>
      <c r="B103" s="15" t="s">
        <v>60</v>
      </c>
      <c r="C103" s="8">
        <v>8</v>
      </c>
      <c r="D103" s="11" t="s">
        <v>50</v>
      </c>
      <c r="E103" s="27">
        <f>$AB$16</f>
        <v>68250</v>
      </c>
      <c r="F103" s="27">
        <f t="shared" ref="F103:R103" si="355">$AB$16</f>
        <v>68250</v>
      </c>
      <c r="G103" s="27">
        <f t="shared" si="355"/>
        <v>68250</v>
      </c>
      <c r="H103" s="27">
        <f t="shared" si="355"/>
        <v>68250</v>
      </c>
      <c r="I103" s="27">
        <f t="shared" si="355"/>
        <v>68250</v>
      </c>
      <c r="J103" s="27">
        <f t="shared" si="355"/>
        <v>68250</v>
      </c>
      <c r="K103" s="27">
        <f t="shared" si="355"/>
        <v>68250</v>
      </c>
      <c r="L103" s="27">
        <f t="shared" si="355"/>
        <v>68250</v>
      </c>
      <c r="M103" s="39">
        <f>$AB$43</f>
        <v>75000</v>
      </c>
      <c r="N103" s="47">
        <f t="shared" si="355"/>
        <v>68250</v>
      </c>
      <c r="O103" s="39">
        <f>$AB$43</f>
        <v>75000</v>
      </c>
      <c r="P103" s="47">
        <f t="shared" si="355"/>
        <v>68250</v>
      </c>
      <c r="Q103" s="39">
        <f>$AB$43</f>
        <v>75000</v>
      </c>
      <c r="R103" s="47">
        <f t="shared" si="355"/>
        <v>68250</v>
      </c>
      <c r="S103" s="39">
        <f>$AB$43*1.1</f>
        <v>82500</v>
      </c>
      <c r="T103" s="47">
        <f>$AB$16*1.1</f>
        <v>75075</v>
      </c>
      <c r="U103" s="28">
        <f t="shared" si="340"/>
        <v>853500</v>
      </c>
      <c r="V103" s="28">
        <f t="shared" si="341"/>
        <v>825825</v>
      </c>
      <c r="W103" s="4"/>
    </row>
    <row r="104" spans="1:23" x14ac:dyDescent="0.25">
      <c r="A104">
        <v>20</v>
      </c>
      <c r="B104" s="8" t="s">
        <v>138</v>
      </c>
      <c r="C104" s="8">
        <v>8</v>
      </c>
      <c r="D104" s="9" t="s">
        <v>25</v>
      </c>
      <c r="E104" s="27">
        <v>52500</v>
      </c>
      <c r="F104" s="27">
        <v>52500</v>
      </c>
      <c r="G104" s="27">
        <f>$AB$4</f>
        <v>70000</v>
      </c>
      <c r="H104" s="27">
        <f t="shared" ref="H104:R104" si="356">$AB$4</f>
        <v>70000</v>
      </c>
      <c r="I104" s="27">
        <f t="shared" si="356"/>
        <v>70000</v>
      </c>
      <c r="J104" s="27">
        <f t="shared" si="356"/>
        <v>70000</v>
      </c>
      <c r="K104" s="27">
        <f t="shared" si="356"/>
        <v>70000</v>
      </c>
      <c r="L104" s="27">
        <f t="shared" si="356"/>
        <v>70000</v>
      </c>
      <c r="M104" s="39">
        <f>$AB$31</f>
        <v>70000</v>
      </c>
      <c r="N104" s="47">
        <f t="shared" si="356"/>
        <v>70000</v>
      </c>
      <c r="O104" s="39">
        <f>$AB$31</f>
        <v>70000</v>
      </c>
      <c r="P104" s="47">
        <f t="shared" si="356"/>
        <v>70000</v>
      </c>
      <c r="Q104" s="39">
        <f>$AB$31</f>
        <v>70000</v>
      </c>
      <c r="R104" s="47">
        <f t="shared" si="356"/>
        <v>70000</v>
      </c>
      <c r="S104" s="39">
        <f>$AB$31*1.1</f>
        <v>77000</v>
      </c>
      <c r="T104" s="47">
        <f>$AB$4*1.1</f>
        <v>77000</v>
      </c>
      <c r="U104" s="28">
        <f t="shared" si="340"/>
        <v>812000</v>
      </c>
      <c r="V104" s="28">
        <f t="shared" si="341"/>
        <v>812000</v>
      </c>
      <c r="W104" s="4"/>
    </row>
    <row r="105" spans="1:23" x14ac:dyDescent="0.25">
      <c r="A105">
        <v>21</v>
      </c>
      <c r="B105" s="16" t="s">
        <v>146</v>
      </c>
      <c r="C105" s="8">
        <v>10</v>
      </c>
      <c r="D105" s="11" t="s">
        <v>51</v>
      </c>
      <c r="E105" s="27">
        <f>$AB$5</f>
        <v>68250</v>
      </c>
      <c r="F105" s="27">
        <f t="shared" ref="F105:R105" si="357">$AB$5</f>
        <v>68250</v>
      </c>
      <c r="G105" s="27">
        <f t="shared" si="357"/>
        <v>68250</v>
      </c>
      <c r="H105" s="27">
        <f t="shared" si="357"/>
        <v>68250</v>
      </c>
      <c r="I105" s="27">
        <f t="shared" si="357"/>
        <v>68250</v>
      </c>
      <c r="J105" s="27">
        <f t="shared" si="357"/>
        <v>68250</v>
      </c>
      <c r="K105" s="27">
        <f t="shared" si="357"/>
        <v>68250</v>
      </c>
      <c r="L105" s="27">
        <f t="shared" si="357"/>
        <v>68250</v>
      </c>
      <c r="M105" s="39">
        <f>$AB$32</f>
        <v>30000</v>
      </c>
      <c r="N105" s="47">
        <f t="shared" si="357"/>
        <v>68250</v>
      </c>
      <c r="O105" s="39">
        <f>$AB$32</f>
        <v>30000</v>
      </c>
      <c r="P105" s="47">
        <f t="shared" si="357"/>
        <v>68250</v>
      </c>
      <c r="Q105" s="39">
        <f>$AB$32</f>
        <v>30000</v>
      </c>
      <c r="R105" s="47">
        <f t="shared" si="357"/>
        <v>68250</v>
      </c>
      <c r="S105" s="39">
        <f>$AB$32*1.2</f>
        <v>36000</v>
      </c>
      <c r="T105" s="47">
        <f>$AB$5*1.1</f>
        <v>75075</v>
      </c>
      <c r="U105" s="28">
        <f t="shared" si="340"/>
        <v>672000</v>
      </c>
      <c r="V105" s="28">
        <f t="shared" si="341"/>
        <v>825825</v>
      </c>
      <c r="W105" s="4"/>
    </row>
    <row r="106" spans="1:23" x14ac:dyDescent="0.25">
      <c r="A106">
        <v>22</v>
      </c>
      <c r="B106" s="25" t="s">
        <v>154</v>
      </c>
      <c r="C106" s="8">
        <v>8</v>
      </c>
      <c r="D106" s="11" t="s">
        <v>143</v>
      </c>
      <c r="E106" s="27">
        <f>$AB$23</f>
        <v>150000</v>
      </c>
      <c r="F106" s="27">
        <f t="shared" ref="F106:R106" si="358">$AB$23</f>
        <v>150000</v>
      </c>
      <c r="G106" s="27">
        <f t="shared" si="358"/>
        <v>150000</v>
      </c>
      <c r="H106" s="27">
        <f t="shared" si="358"/>
        <v>150000</v>
      </c>
      <c r="I106" s="27">
        <f t="shared" si="358"/>
        <v>150000</v>
      </c>
      <c r="J106" s="27">
        <f t="shared" si="358"/>
        <v>150000</v>
      </c>
      <c r="K106" s="27">
        <f t="shared" si="358"/>
        <v>150000</v>
      </c>
      <c r="L106" s="27">
        <f t="shared" si="358"/>
        <v>150000</v>
      </c>
      <c r="M106" s="39">
        <f>$AB$50</f>
        <v>150000</v>
      </c>
      <c r="N106" s="47">
        <f t="shared" si="358"/>
        <v>150000</v>
      </c>
      <c r="O106" s="39">
        <f>$AB$50</f>
        <v>150000</v>
      </c>
      <c r="P106" s="47">
        <f t="shared" si="358"/>
        <v>150000</v>
      </c>
      <c r="Q106" s="39">
        <f>$AB$50</f>
        <v>150000</v>
      </c>
      <c r="R106" s="47">
        <f t="shared" si="358"/>
        <v>150000</v>
      </c>
      <c r="S106" s="39">
        <f>$AB$50*1.1</f>
        <v>165000</v>
      </c>
      <c r="T106" s="47">
        <f>$AB$23*1.1</f>
        <v>165000</v>
      </c>
      <c r="U106" s="28">
        <f t="shared" si="340"/>
        <v>1815000</v>
      </c>
      <c r="V106" s="28">
        <f t="shared" si="341"/>
        <v>1815000</v>
      </c>
      <c r="W106" s="4"/>
    </row>
    <row r="107" spans="1:23" x14ac:dyDescent="0.25">
      <c r="A107">
        <v>23</v>
      </c>
      <c r="B107" s="16" t="s">
        <v>146</v>
      </c>
      <c r="C107" s="8">
        <v>10</v>
      </c>
      <c r="D107" s="9" t="s">
        <v>27</v>
      </c>
      <c r="E107" s="27">
        <f>$AB$5</f>
        <v>68250</v>
      </c>
      <c r="F107" s="27">
        <f t="shared" ref="F107:R108" si="359">$AB$5</f>
        <v>68250</v>
      </c>
      <c r="G107" s="27">
        <f t="shared" si="359"/>
        <v>68250</v>
      </c>
      <c r="H107" s="27">
        <f t="shared" si="359"/>
        <v>68250</v>
      </c>
      <c r="I107" s="27">
        <f t="shared" si="359"/>
        <v>68250</v>
      </c>
      <c r="J107" s="27">
        <f t="shared" si="359"/>
        <v>68250</v>
      </c>
      <c r="K107" s="27">
        <f t="shared" si="359"/>
        <v>68250</v>
      </c>
      <c r="L107" s="27">
        <f t="shared" si="359"/>
        <v>68250</v>
      </c>
      <c r="M107" s="39">
        <f>$AB$32</f>
        <v>30000</v>
      </c>
      <c r="N107" s="47">
        <f t="shared" si="359"/>
        <v>68250</v>
      </c>
      <c r="O107" s="39">
        <f>$AB$32</f>
        <v>30000</v>
      </c>
      <c r="P107" s="47">
        <f t="shared" si="359"/>
        <v>68250</v>
      </c>
      <c r="Q107" s="39">
        <f>$AB$32</f>
        <v>30000</v>
      </c>
      <c r="R107" s="47">
        <f t="shared" si="359"/>
        <v>68250</v>
      </c>
      <c r="S107" s="39">
        <f t="shared" ref="S107:S108" si="360">$AB$32*1.2</f>
        <v>36000</v>
      </c>
      <c r="T107" s="47">
        <f>$AB$5*1.1</f>
        <v>75075</v>
      </c>
      <c r="U107" s="28">
        <f t="shared" si="340"/>
        <v>672000</v>
      </c>
      <c r="V107" s="28">
        <f t="shared" si="341"/>
        <v>825825</v>
      </c>
      <c r="W107" s="4"/>
    </row>
    <row r="108" spans="1:23" x14ac:dyDescent="0.25">
      <c r="A108">
        <v>24</v>
      </c>
      <c r="B108" s="16" t="s">
        <v>146</v>
      </c>
      <c r="C108" s="8">
        <v>10</v>
      </c>
      <c r="D108" s="9" t="s">
        <v>28</v>
      </c>
      <c r="E108" s="27">
        <f>$AB$5</f>
        <v>68250</v>
      </c>
      <c r="F108" s="27">
        <f t="shared" si="359"/>
        <v>68250</v>
      </c>
      <c r="G108" s="27">
        <f t="shared" si="359"/>
        <v>68250</v>
      </c>
      <c r="H108" s="27">
        <f t="shared" si="359"/>
        <v>68250</v>
      </c>
      <c r="I108" s="27">
        <f t="shared" si="359"/>
        <v>68250</v>
      </c>
      <c r="J108" s="27">
        <f t="shared" si="359"/>
        <v>68250</v>
      </c>
      <c r="K108" s="27">
        <f t="shared" si="359"/>
        <v>68250</v>
      </c>
      <c r="L108" s="27">
        <f t="shared" si="359"/>
        <v>68250</v>
      </c>
      <c r="M108" s="39">
        <f>$AB$32</f>
        <v>30000</v>
      </c>
      <c r="N108" s="47">
        <f t="shared" si="359"/>
        <v>68250</v>
      </c>
      <c r="O108" s="39">
        <f>$AB$32</f>
        <v>30000</v>
      </c>
      <c r="P108" s="47">
        <f t="shared" si="359"/>
        <v>68250</v>
      </c>
      <c r="Q108" s="39">
        <f>$AB$32</f>
        <v>30000</v>
      </c>
      <c r="R108" s="47">
        <f t="shared" si="359"/>
        <v>68250</v>
      </c>
      <c r="S108" s="39">
        <f t="shared" si="360"/>
        <v>36000</v>
      </c>
      <c r="T108" s="47">
        <f>$AB$5*1.1</f>
        <v>75075</v>
      </c>
      <c r="U108" s="28">
        <f t="shared" si="340"/>
        <v>672000</v>
      </c>
      <c r="V108" s="28">
        <f t="shared" si="341"/>
        <v>825825</v>
      </c>
      <c r="W108" s="4"/>
    </row>
    <row r="109" spans="1:23" x14ac:dyDescent="0.25">
      <c r="A109">
        <v>25</v>
      </c>
      <c r="B109" s="16" t="s">
        <v>146</v>
      </c>
      <c r="C109" s="8">
        <v>12</v>
      </c>
      <c r="D109" s="9" t="s">
        <v>29</v>
      </c>
      <c r="E109" s="27">
        <f>$AB$5</f>
        <v>68250</v>
      </c>
      <c r="F109" s="27">
        <f t="shared" ref="F109:R109" si="361">$AB$5</f>
        <v>68250</v>
      </c>
      <c r="G109" s="27">
        <f t="shared" si="361"/>
        <v>68250</v>
      </c>
      <c r="H109" s="27">
        <f t="shared" si="361"/>
        <v>68250</v>
      </c>
      <c r="I109" s="27">
        <f t="shared" si="361"/>
        <v>68250</v>
      </c>
      <c r="J109" s="27">
        <f t="shared" si="361"/>
        <v>68250</v>
      </c>
      <c r="K109" s="27">
        <f t="shared" si="361"/>
        <v>68250</v>
      </c>
      <c r="L109" s="27">
        <f t="shared" si="361"/>
        <v>68250</v>
      </c>
      <c r="M109" s="39">
        <f>$AB$32</f>
        <v>30000</v>
      </c>
      <c r="N109" s="47">
        <f t="shared" si="361"/>
        <v>68250</v>
      </c>
      <c r="O109" s="39">
        <f>$AB$32</f>
        <v>30000</v>
      </c>
      <c r="P109" s="47">
        <f t="shared" si="361"/>
        <v>68250</v>
      </c>
      <c r="Q109" s="39">
        <f>$AB$32</f>
        <v>30000</v>
      </c>
      <c r="R109" s="47">
        <f t="shared" si="361"/>
        <v>68250</v>
      </c>
      <c r="S109" s="39">
        <f>$AB$32*1.2</f>
        <v>36000</v>
      </c>
      <c r="T109" s="47">
        <f>$AB$5*1.1</f>
        <v>75075</v>
      </c>
      <c r="U109" s="28">
        <f t="shared" si="340"/>
        <v>672000</v>
      </c>
      <c r="V109" s="28">
        <f t="shared" si="341"/>
        <v>825825</v>
      </c>
      <c r="W109" s="4"/>
    </row>
    <row r="110" spans="1:23" x14ac:dyDescent="0.25">
      <c r="A110">
        <v>26</v>
      </c>
      <c r="B110" s="14" t="s">
        <v>66</v>
      </c>
      <c r="C110" s="8">
        <v>12</v>
      </c>
      <c r="D110" s="11" t="s">
        <v>30</v>
      </c>
      <c r="E110" s="27">
        <f>$AB$10</f>
        <v>68250</v>
      </c>
      <c r="F110" s="27">
        <f t="shared" ref="F110:R110" si="362">$AB$10</f>
        <v>68250</v>
      </c>
      <c r="G110" s="27">
        <f t="shared" si="362"/>
        <v>68250</v>
      </c>
      <c r="H110" s="27">
        <f t="shared" si="362"/>
        <v>68250</v>
      </c>
      <c r="I110" s="27">
        <f t="shared" si="362"/>
        <v>68250</v>
      </c>
      <c r="J110" s="27">
        <f t="shared" si="362"/>
        <v>68250</v>
      </c>
      <c r="K110" s="27">
        <f t="shared" si="362"/>
        <v>68250</v>
      </c>
      <c r="L110" s="27">
        <f t="shared" si="362"/>
        <v>68250</v>
      </c>
      <c r="M110" s="39">
        <f>$AB$37</f>
        <v>80000</v>
      </c>
      <c r="N110" s="47">
        <f t="shared" si="362"/>
        <v>68250</v>
      </c>
      <c r="O110" s="39">
        <f>$AB$37</f>
        <v>80000</v>
      </c>
      <c r="P110" s="47">
        <f t="shared" si="362"/>
        <v>68250</v>
      </c>
      <c r="Q110" s="39">
        <f>$AB$37</f>
        <v>80000</v>
      </c>
      <c r="R110" s="47">
        <f t="shared" si="362"/>
        <v>68250</v>
      </c>
      <c r="S110" s="39">
        <f>$AB$37*1.1</f>
        <v>88000</v>
      </c>
      <c r="T110" s="47">
        <f>$AB$10*1.1</f>
        <v>75075</v>
      </c>
      <c r="U110" s="28">
        <f t="shared" si="340"/>
        <v>874000</v>
      </c>
      <c r="V110" s="28">
        <f t="shared" si="341"/>
        <v>825825</v>
      </c>
      <c r="W110" s="4"/>
    </row>
    <row r="111" spans="1:23" x14ac:dyDescent="0.25">
      <c r="A111">
        <v>27</v>
      </c>
      <c r="B111" s="16" t="s">
        <v>146</v>
      </c>
      <c r="C111" s="8">
        <v>10</v>
      </c>
      <c r="D111" s="9" t="s">
        <v>31</v>
      </c>
      <c r="E111" s="27">
        <f>$AB$5</f>
        <v>68250</v>
      </c>
      <c r="F111" s="27">
        <f t="shared" ref="F111:R111" si="363">$AB$5</f>
        <v>68250</v>
      </c>
      <c r="G111" s="27">
        <f t="shared" si="363"/>
        <v>68250</v>
      </c>
      <c r="H111" s="27">
        <f t="shared" si="363"/>
        <v>68250</v>
      </c>
      <c r="I111" s="27">
        <f t="shared" si="363"/>
        <v>68250</v>
      </c>
      <c r="J111" s="27">
        <f t="shared" si="363"/>
        <v>68250</v>
      </c>
      <c r="K111" s="27">
        <f t="shared" si="363"/>
        <v>68250</v>
      </c>
      <c r="L111" s="27">
        <f t="shared" si="363"/>
        <v>68250</v>
      </c>
      <c r="M111" s="39">
        <f>$AB$32</f>
        <v>30000</v>
      </c>
      <c r="N111" s="47">
        <f t="shared" si="363"/>
        <v>68250</v>
      </c>
      <c r="O111" s="39">
        <f>$AB$32</f>
        <v>30000</v>
      </c>
      <c r="P111" s="47">
        <f t="shared" si="363"/>
        <v>68250</v>
      </c>
      <c r="Q111" s="39">
        <f>$AB$32</f>
        <v>30000</v>
      </c>
      <c r="R111" s="47">
        <f t="shared" si="363"/>
        <v>68250</v>
      </c>
      <c r="S111" s="39">
        <f>$AB$32*1.2</f>
        <v>36000</v>
      </c>
      <c r="T111" s="47">
        <f>$AB$5*1.1</f>
        <v>75075</v>
      </c>
      <c r="U111" s="28">
        <f t="shared" si="340"/>
        <v>672000</v>
      </c>
      <c r="V111" s="28">
        <f t="shared" si="341"/>
        <v>825825</v>
      </c>
      <c r="W111" s="4"/>
    </row>
    <row r="112" spans="1:23" x14ac:dyDescent="0.25">
      <c r="A112">
        <v>28</v>
      </c>
      <c r="B112" s="14" t="s">
        <v>62</v>
      </c>
      <c r="C112" s="8">
        <v>10</v>
      </c>
      <c r="D112" s="11" t="s">
        <v>52</v>
      </c>
      <c r="E112" s="27">
        <f>$AB$12</f>
        <v>68250</v>
      </c>
      <c r="F112" s="27">
        <f t="shared" ref="F112:R112" si="364">$AB$12</f>
        <v>68250</v>
      </c>
      <c r="G112" s="27">
        <f t="shared" si="364"/>
        <v>68250</v>
      </c>
      <c r="H112" s="27">
        <f t="shared" si="364"/>
        <v>68250</v>
      </c>
      <c r="I112" s="27">
        <f t="shared" si="364"/>
        <v>68250</v>
      </c>
      <c r="J112" s="27">
        <f t="shared" si="364"/>
        <v>68250</v>
      </c>
      <c r="K112" s="27">
        <f t="shared" si="364"/>
        <v>68250</v>
      </c>
      <c r="L112" s="27">
        <f t="shared" si="364"/>
        <v>68250</v>
      </c>
      <c r="M112" s="39">
        <f>$AB$39</f>
        <v>80000</v>
      </c>
      <c r="N112" s="47">
        <f t="shared" si="364"/>
        <v>68250</v>
      </c>
      <c r="O112" s="39">
        <f>$AB$39</f>
        <v>80000</v>
      </c>
      <c r="P112" s="47">
        <f t="shared" si="364"/>
        <v>68250</v>
      </c>
      <c r="Q112" s="39">
        <f>$AB$39</f>
        <v>80000</v>
      </c>
      <c r="R112" s="47">
        <f t="shared" si="364"/>
        <v>68250</v>
      </c>
      <c r="S112" s="39">
        <f>$AB$39*1.1</f>
        <v>88000</v>
      </c>
      <c r="T112" s="47">
        <f>$AB$12*1.1</f>
        <v>75075</v>
      </c>
      <c r="U112" s="28">
        <f t="shared" si="340"/>
        <v>874000</v>
      </c>
      <c r="V112" s="28">
        <f t="shared" si="341"/>
        <v>825825</v>
      </c>
      <c r="W112" s="4"/>
    </row>
    <row r="113" spans="1:23" x14ac:dyDescent="0.25">
      <c r="A113">
        <v>29</v>
      </c>
      <c r="B113" s="16" t="s">
        <v>145</v>
      </c>
      <c r="C113" s="8">
        <v>10</v>
      </c>
      <c r="D113" s="11" t="s">
        <v>53</v>
      </c>
      <c r="E113" s="27">
        <f>$AB$6</f>
        <v>68250</v>
      </c>
      <c r="F113" s="27">
        <f t="shared" ref="F113:R113" si="365">$AB$6</f>
        <v>68250</v>
      </c>
      <c r="G113" s="27">
        <f t="shared" si="365"/>
        <v>68250</v>
      </c>
      <c r="H113" s="27">
        <f t="shared" si="365"/>
        <v>68250</v>
      </c>
      <c r="I113" s="27">
        <f t="shared" si="365"/>
        <v>68250</v>
      </c>
      <c r="J113" s="27">
        <f t="shared" si="365"/>
        <v>68250</v>
      </c>
      <c r="K113" s="27">
        <f t="shared" si="365"/>
        <v>68250</v>
      </c>
      <c r="L113" s="27">
        <f t="shared" si="365"/>
        <v>68250</v>
      </c>
      <c r="M113" s="39">
        <f>$AB$33</f>
        <v>75000</v>
      </c>
      <c r="N113" s="47">
        <f t="shared" si="365"/>
        <v>68250</v>
      </c>
      <c r="O113" s="39">
        <f>$AB$33</f>
        <v>75000</v>
      </c>
      <c r="P113" s="47">
        <f t="shared" si="365"/>
        <v>68250</v>
      </c>
      <c r="Q113" s="39">
        <f>$AB$33</f>
        <v>75000</v>
      </c>
      <c r="R113" s="47">
        <f t="shared" si="365"/>
        <v>68250</v>
      </c>
      <c r="S113" s="39">
        <f>$AB$33*1.1</f>
        <v>82500</v>
      </c>
      <c r="T113" s="47">
        <f>$AB$6*1.1</f>
        <v>75075</v>
      </c>
      <c r="U113" s="28">
        <f t="shared" si="340"/>
        <v>853500</v>
      </c>
      <c r="V113" s="28">
        <f t="shared" si="341"/>
        <v>825825</v>
      </c>
      <c r="W113" s="4"/>
    </row>
    <row r="114" spans="1:23" x14ac:dyDescent="0.25">
      <c r="A114">
        <v>30</v>
      </c>
      <c r="B114" s="16" t="s">
        <v>146</v>
      </c>
      <c r="C114" s="8">
        <v>10</v>
      </c>
      <c r="D114" s="9" t="s">
        <v>32</v>
      </c>
      <c r="E114" s="27">
        <f>$AB$5</f>
        <v>68250</v>
      </c>
      <c r="F114" s="27">
        <f t="shared" ref="F114:R114" si="366">$AB$5</f>
        <v>68250</v>
      </c>
      <c r="G114" s="27">
        <f t="shared" si="366"/>
        <v>68250</v>
      </c>
      <c r="H114" s="27">
        <f t="shared" si="366"/>
        <v>68250</v>
      </c>
      <c r="I114" s="27">
        <f t="shared" si="366"/>
        <v>68250</v>
      </c>
      <c r="J114" s="27">
        <f t="shared" si="366"/>
        <v>68250</v>
      </c>
      <c r="K114" s="27">
        <f t="shared" si="366"/>
        <v>68250</v>
      </c>
      <c r="L114" s="27">
        <f t="shared" si="366"/>
        <v>68250</v>
      </c>
      <c r="M114" s="39">
        <f>$AB$32</f>
        <v>30000</v>
      </c>
      <c r="N114" s="47">
        <f t="shared" si="366"/>
        <v>68250</v>
      </c>
      <c r="O114" s="39">
        <f>$AB$32</f>
        <v>30000</v>
      </c>
      <c r="P114" s="47">
        <f t="shared" si="366"/>
        <v>68250</v>
      </c>
      <c r="Q114" s="39">
        <f>$AB$32</f>
        <v>30000</v>
      </c>
      <c r="R114" s="47">
        <f t="shared" si="366"/>
        <v>68250</v>
      </c>
      <c r="S114" s="39">
        <f>$AB$32*1.2</f>
        <v>36000</v>
      </c>
      <c r="T114" s="47">
        <f>$AB$5*1.1</f>
        <v>75075</v>
      </c>
      <c r="U114" s="28">
        <f t="shared" si="340"/>
        <v>672000</v>
      </c>
      <c r="V114" s="28">
        <f t="shared" si="341"/>
        <v>825825</v>
      </c>
      <c r="W114" s="4"/>
    </row>
    <row r="115" spans="1:23" x14ac:dyDescent="0.25">
      <c r="A115">
        <v>31</v>
      </c>
      <c r="B115" s="15" t="s">
        <v>61</v>
      </c>
      <c r="C115" s="8">
        <v>10</v>
      </c>
      <c r="D115" s="9" t="s">
        <v>33</v>
      </c>
      <c r="E115" s="27">
        <f>$AB$14</f>
        <v>68250</v>
      </c>
      <c r="F115" s="27">
        <f t="shared" ref="F115:R116" si="367">$AB$14</f>
        <v>68250</v>
      </c>
      <c r="G115" s="27">
        <f t="shared" si="367"/>
        <v>68250</v>
      </c>
      <c r="H115" s="27">
        <f t="shared" si="367"/>
        <v>68250</v>
      </c>
      <c r="I115" s="27">
        <f t="shared" si="367"/>
        <v>68250</v>
      </c>
      <c r="J115" s="27">
        <f t="shared" si="367"/>
        <v>68250</v>
      </c>
      <c r="K115" s="27">
        <f t="shared" si="367"/>
        <v>68250</v>
      </c>
      <c r="L115" s="27">
        <f t="shared" si="367"/>
        <v>68250</v>
      </c>
      <c r="M115" s="39">
        <f>$AB$41</f>
        <v>75000</v>
      </c>
      <c r="N115" s="47">
        <f t="shared" si="367"/>
        <v>68250</v>
      </c>
      <c r="O115" s="39">
        <f>$AB$41</f>
        <v>75000</v>
      </c>
      <c r="P115" s="47">
        <f t="shared" si="367"/>
        <v>68250</v>
      </c>
      <c r="Q115" s="39">
        <f>$AB$41</f>
        <v>75000</v>
      </c>
      <c r="R115" s="47">
        <f t="shared" si="367"/>
        <v>68250</v>
      </c>
      <c r="S115" s="39">
        <f>$AB$41*1.1</f>
        <v>82500</v>
      </c>
      <c r="T115" s="47">
        <f>$AB$14*1.1</f>
        <v>75075</v>
      </c>
      <c r="U115" s="28">
        <f t="shared" si="340"/>
        <v>853500</v>
      </c>
      <c r="V115" s="28">
        <f t="shared" si="341"/>
        <v>825825</v>
      </c>
      <c r="W115" s="4"/>
    </row>
    <row r="116" spans="1:23" x14ac:dyDescent="0.25">
      <c r="A116">
        <v>32</v>
      </c>
      <c r="B116" s="15" t="s">
        <v>61</v>
      </c>
      <c r="C116" s="8">
        <v>10</v>
      </c>
      <c r="D116" s="9" t="s">
        <v>34</v>
      </c>
      <c r="E116" s="27">
        <f>$AB$14</f>
        <v>68250</v>
      </c>
      <c r="F116" s="27">
        <f t="shared" si="367"/>
        <v>68250</v>
      </c>
      <c r="G116" s="27">
        <f t="shared" si="367"/>
        <v>68250</v>
      </c>
      <c r="H116" s="27">
        <f t="shared" si="367"/>
        <v>68250</v>
      </c>
      <c r="I116" s="27">
        <f t="shared" si="367"/>
        <v>68250</v>
      </c>
      <c r="J116" s="27">
        <f t="shared" si="367"/>
        <v>68250</v>
      </c>
      <c r="K116" s="27">
        <f t="shared" si="367"/>
        <v>68250</v>
      </c>
      <c r="L116" s="27">
        <f t="shared" si="367"/>
        <v>68250</v>
      </c>
      <c r="M116" s="39">
        <f t="shared" ref="M116" si="368">$AB$41</f>
        <v>75000</v>
      </c>
      <c r="N116" s="47">
        <f t="shared" si="367"/>
        <v>68250</v>
      </c>
      <c r="O116" s="39">
        <f>$AB$41</f>
        <v>75000</v>
      </c>
      <c r="P116" s="47">
        <f t="shared" si="367"/>
        <v>68250</v>
      </c>
      <c r="Q116" s="39">
        <f>$AB$41</f>
        <v>75000</v>
      </c>
      <c r="R116" s="47">
        <f t="shared" si="367"/>
        <v>68250</v>
      </c>
      <c r="S116" s="39">
        <f>$AB$41*1.1</f>
        <v>82500</v>
      </c>
      <c r="T116" s="47">
        <f>$AB$14*1.1</f>
        <v>75075</v>
      </c>
      <c r="U116" s="28">
        <f t="shared" si="340"/>
        <v>853500</v>
      </c>
      <c r="V116" s="28">
        <f t="shared" si="341"/>
        <v>825825</v>
      </c>
      <c r="W116" s="4"/>
    </row>
    <row r="117" spans="1:23" x14ac:dyDescent="0.25">
      <c r="A117">
        <v>33</v>
      </c>
      <c r="B117" s="16" t="s">
        <v>146</v>
      </c>
      <c r="C117" s="8">
        <v>10</v>
      </c>
      <c r="D117" s="9" t="s">
        <v>54</v>
      </c>
      <c r="E117" s="27">
        <f>$AB$5</f>
        <v>68250</v>
      </c>
      <c r="F117" s="27">
        <f t="shared" ref="F117:R118" si="369">$AB$5</f>
        <v>68250</v>
      </c>
      <c r="G117" s="27">
        <f t="shared" si="369"/>
        <v>68250</v>
      </c>
      <c r="H117" s="27">
        <f t="shared" si="369"/>
        <v>68250</v>
      </c>
      <c r="I117" s="27">
        <f t="shared" si="369"/>
        <v>68250</v>
      </c>
      <c r="J117" s="27">
        <f t="shared" si="369"/>
        <v>68250</v>
      </c>
      <c r="K117" s="27">
        <f t="shared" si="369"/>
        <v>68250</v>
      </c>
      <c r="L117" s="27">
        <f t="shared" si="369"/>
        <v>68250</v>
      </c>
      <c r="M117" s="39">
        <f>$AB$32</f>
        <v>30000</v>
      </c>
      <c r="N117" s="47">
        <f t="shared" si="369"/>
        <v>68250</v>
      </c>
      <c r="O117" s="39">
        <f>$AB$32</f>
        <v>30000</v>
      </c>
      <c r="P117" s="47">
        <f t="shared" si="369"/>
        <v>68250</v>
      </c>
      <c r="Q117" s="39">
        <f>$AB$32</f>
        <v>30000</v>
      </c>
      <c r="R117" s="47">
        <f t="shared" si="369"/>
        <v>68250</v>
      </c>
      <c r="S117" s="39">
        <f t="shared" ref="S117:S118" si="370">$AB$32*1.2</f>
        <v>36000</v>
      </c>
      <c r="T117" s="47">
        <f>$AB$5*1.1</f>
        <v>75075</v>
      </c>
      <c r="U117" s="28">
        <f t="shared" si="340"/>
        <v>672000</v>
      </c>
      <c r="V117" s="28">
        <f t="shared" si="341"/>
        <v>825825</v>
      </c>
      <c r="W117" s="4"/>
    </row>
    <row r="118" spans="1:23" x14ac:dyDescent="0.25">
      <c r="A118">
        <v>34</v>
      </c>
      <c r="B118" s="16" t="s">
        <v>146</v>
      </c>
      <c r="C118" s="8">
        <v>10</v>
      </c>
      <c r="D118" s="11" t="s">
        <v>55</v>
      </c>
      <c r="E118" s="27">
        <f>$AB$5</f>
        <v>68250</v>
      </c>
      <c r="F118" s="27">
        <f t="shared" si="369"/>
        <v>68250</v>
      </c>
      <c r="G118" s="27">
        <f t="shared" si="369"/>
        <v>68250</v>
      </c>
      <c r="H118" s="27">
        <f t="shared" si="369"/>
        <v>68250</v>
      </c>
      <c r="I118" s="27">
        <f t="shared" si="369"/>
        <v>68250</v>
      </c>
      <c r="J118" s="27">
        <f t="shared" si="369"/>
        <v>68250</v>
      </c>
      <c r="K118" s="27">
        <f t="shared" si="369"/>
        <v>68250</v>
      </c>
      <c r="L118" s="27">
        <f t="shared" si="369"/>
        <v>68250</v>
      </c>
      <c r="M118" s="39">
        <f>$AB$32</f>
        <v>30000</v>
      </c>
      <c r="N118" s="47">
        <f t="shared" si="369"/>
        <v>68250</v>
      </c>
      <c r="O118" s="39">
        <f>$AB$32</f>
        <v>30000</v>
      </c>
      <c r="P118" s="47">
        <f t="shared" si="369"/>
        <v>68250</v>
      </c>
      <c r="Q118" s="39">
        <f>$AB$32</f>
        <v>30000</v>
      </c>
      <c r="R118" s="47">
        <f t="shared" si="369"/>
        <v>68250</v>
      </c>
      <c r="S118" s="39">
        <f t="shared" si="370"/>
        <v>36000</v>
      </c>
      <c r="T118" s="47">
        <f>$AB$5*1.1</f>
        <v>75075</v>
      </c>
      <c r="U118" s="28">
        <f t="shared" si="340"/>
        <v>672000</v>
      </c>
      <c r="V118" s="28">
        <f t="shared" si="341"/>
        <v>825825</v>
      </c>
      <c r="W118" s="4"/>
    </row>
    <row r="119" spans="1:23" x14ac:dyDescent="0.25">
      <c r="A119">
        <v>35</v>
      </c>
      <c r="B119" s="8" t="s">
        <v>138</v>
      </c>
      <c r="C119" s="8">
        <v>10</v>
      </c>
      <c r="D119" s="9" t="s">
        <v>35</v>
      </c>
      <c r="E119" s="27">
        <v>65600</v>
      </c>
      <c r="F119" s="27">
        <v>65600</v>
      </c>
      <c r="G119" s="27">
        <f t="shared" ref="G119:R119" si="371">$AB$4</f>
        <v>70000</v>
      </c>
      <c r="H119" s="27">
        <f t="shared" si="371"/>
        <v>70000</v>
      </c>
      <c r="I119" s="27">
        <f t="shared" si="371"/>
        <v>70000</v>
      </c>
      <c r="J119" s="27">
        <f t="shared" si="371"/>
        <v>70000</v>
      </c>
      <c r="K119" s="27">
        <f t="shared" si="371"/>
        <v>70000</v>
      </c>
      <c r="L119" s="27">
        <f t="shared" si="371"/>
        <v>70000</v>
      </c>
      <c r="M119" s="39">
        <f>$AB$31</f>
        <v>70000</v>
      </c>
      <c r="N119" s="47">
        <f t="shared" si="371"/>
        <v>70000</v>
      </c>
      <c r="O119" s="39">
        <f>$AB$31</f>
        <v>70000</v>
      </c>
      <c r="P119" s="47">
        <f t="shared" si="371"/>
        <v>70000</v>
      </c>
      <c r="Q119" s="39">
        <f>$AB$31</f>
        <v>70000</v>
      </c>
      <c r="R119" s="47">
        <f t="shared" si="371"/>
        <v>70000</v>
      </c>
      <c r="S119" s="39">
        <f>$AB$31*1.1</f>
        <v>77000</v>
      </c>
      <c r="T119" s="47">
        <f>$AB$4*1.1</f>
        <v>77000</v>
      </c>
      <c r="U119" s="28">
        <f t="shared" si="340"/>
        <v>838200</v>
      </c>
      <c r="V119" s="28">
        <f t="shared" si="341"/>
        <v>838200</v>
      </c>
      <c r="W119" s="4"/>
    </row>
    <row r="120" spans="1:23" x14ac:dyDescent="0.25">
      <c r="A120">
        <v>36</v>
      </c>
      <c r="B120" s="16" t="s">
        <v>146</v>
      </c>
      <c r="C120" s="8">
        <v>10</v>
      </c>
      <c r="D120" s="9" t="s">
        <v>36</v>
      </c>
      <c r="E120" s="27">
        <f>$AB$5</f>
        <v>68250</v>
      </c>
      <c r="F120" s="27">
        <f t="shared" ref="F120:R120" si="372">$AB$5</f>
        <v>68250</v>
      </c>
      <c r="G120" s="27">
        <f t="shared" si="372"/>
        <v>68250</v>
      </c>
      <c r="H120" s="27">
        <f t="shared" si="372"/>
        <v>68250</v>
      </c>
      <c r="I120" s="27">
        <f t="shared" si="372"/>
        <v>68250</v>
      </c>
      <c r="J120" s="27">
        <f t="shared" si="372"/>
        <v>68250</v>
      </c>
      <c r="K120" s="27">
        <f t="shared" si="372"/>
        <v>68250</v>
      </c>
      <c r="L120" s="27">
        <f t="shared" si="372"/>
        <v>68250</v>
      </c>
      <c r="M120" s="39">
        <f>$AB$32</f>
        <v>30000</v>
      </c>
      <c r="N120" s="47">
        <f t="shared" si="372"/>
        <v>68250</v>
      </c>
      <c r="O120" s="39">
        <f>$AB$32</f>
        <v>30000</v>
      </c>
      <c r="P120" s="47">
        <f t="shared" si="372"/>
        <v>68250</v>
      </c>
      <c r="Q120" s="39">
        <f>$AB$32</f>
        <v>30000</v>
      </c>
      <c r="R120" s="47">
        <f t="shared" si="372"/>
        <v>68250</v>
      </c>
      <c r="S120" s="39">
        <f>$AB$32*1.2</f>
        <v>36000</v>
      </c>
      <c r="T120" s="47">
        <f>$AB$5*1.1</f>
        <v>75075</v>
      </c>
      <c r="U120" s="28">
        <f t="shared" si="340"/>
        <v>672000</v>
      </c>
      <c r="V120" s="28">
        <f t="shared" si="341"/>
        <v>825825</v>
      </c>
      <c r="W120" s="4"/>
    </row>
    <row r="121" spans="1:23" x14ac:dyDescent="0.25">
      <c r="A121">
        <v>37</v>
      </c>
      <c r="B121" s="16" t="s">
        <v>146</v>
      </c>
      <c r="C121" s="8">
        <v>12</v>
      </c>
      <c r="D121" s="9" t="s">
        <v>37</v>
      </c>
      <c r="E121" s="27">
        <f>$AB$5</f>
        <v>68250</v>
      </c>
      <c r="F121" s="27">
        <f t="shared" ref="F121:R121" si="373">$AB$5</f>
        <v>68250</v>
      </c>
      <c r="G121" s="27">
        <f t="shared" si="373"/>
        <v>68250</v>
      </c>
      <c r="H121" s="27">
        <f t="shared" si="373"/>
        <v>68250</v>
      </c>
      <c r="I121" s="27">
        <f t="shared" si="373"/>
        <v>68250</v>
      </c>
      <c r="J121" s="27">
        <f t="shared" si="373"/>
        <v>68250</v>
      </c>
      <c r="K121" s="27">
        <f t="shared" si="373"/>
        <v>68250</v>
      </c>
      <c r="L121" s="27">
        <f t="shared" si="373"/>
        <v>68250</v>
      </c>
      <c r="M121" s="39">
        <f>$AB$32</f>
        <v>30000</v>
      </c>
      <c r="N121" s="47">
        <f t="shared" si="373"/>
        <v>68250</v>
      </c>
      <c r="O121" s="39">
        <f>$AB$32</f>
        <v>30000</v>
      </c>
      <c r="P121" s="47">
        <f t="shared" si="373"/>
        <v>68250</v>
      </c>
      <c r="Q121" s="39">
        <f>$AB$32</f>
        <v>30000</v>
      </c>
      <c r="R121" s="47">
        <f t="shared" si="373"/>
        <v>68250</v>
      </c>
      <c r="S121" s="39">
        <f>$AB$32*1.2</f>
        <v>36000</v>
      </c>
      <c r="T121" s="47">
        <f>$AB$5*1.1</f>
        <v>75075</v>
      </c>
      <c r="U121" s="28">
        <f t="shared" si="340"/>
        <v>672000</v>
      </c>
      <c r="V121" s="28">
        <f t="shared" si="341"/>
        <v>825825</v>
      </c>
      <c r="W121" s="4"/>
    </row>
    <row r="122" spans="1:23" x14ac:dyDescent="0.25">
      <c r="A122">
        <v>38</v>
      </c>
      <c r="B122" s="16" t="s">
        <v>145</v>
      </c>
      <c r="C122" s="8">
        <v>12</v>
      </c>
      <c r="D122" s="11" t="s">
        <v>56</v>
      </c>
      <c r="E122" s="27">
        <f>$AB$6</f>
        <v>68250</v>
      </c>
      <c r="F122" s="27">
        <f t="shared" ref="F122:R122" si="374">$AB$6</f>
        <v>68250</v>
      </c>
      <c r="G122" s="27">
        <f t="shared" si="374"/>
        <v>68250</v>
      </c>
      <c r="H122" s="27">
        <f t="shared" si="374"/>
        <v>68250</v>
      </c>
      <c r="I122" s="27">
        <f t="shared" si="374"/>
        <v>68250</v>
      </c>
      <c r="J122" s="27">
        <f t="shared" si="374"/>
        <v>68250</v>
      </c>
      <c r="K122" s="27">
        <f t="shared" si="374"/>
        <v>68250</v>
      </c>
      <c r="L122" s="27">
        <f t="shared" si="374"/>
        <v>68250</v>
      </c>
      <c r="M122" s="39">
        <f>$AB$33</f>
        <v>75000</v>
      </c>
      <c r="N122" s="47">
        <f t="shared" si="374"/>
        <v>68250</v>
      </c>
      <c r="O122" s="39">
        <f>$AB$33</f>
        <v>75000</v>
      </c>
      <c r="P122" s="47">
        <f t="shared" si="374"/>
        <v>68250</v>
      </c>
      <c r="Q122" s="39">
        <f>$AB$33</f>
        <v>75000</v>
      </c>
      <c r="R122" s="47">
        <f t="shared" si="374"/>
        <v>68250</v>
      </c>
      <c r="S122" s="39">
        <f>$AB$33*1.1</f>
        <v>82500</v>
      </c>
      <c r="T122" s="47">
        <f>$AB$6*1.1</f>
        <v>75075</v>
      </c>
      <c r="U122" s="28">
        <f t="shared" si="340"/>
        <v>853500</v>
      </c>
      <c r="V122" s="28">
        <f t="shared" si="341"/>
        <v>825825</v>
      </c>
      <c r="W122" s="4"/>
    </row>
    <row r="123" spans="1:23" x14ac:dyDescent="0.25">
      <c r="A123">
        <v>39</v>
      </c>
      <c r="B123" s="14" t="s">
        <v>59</v>
      </c>
      <c r="C123" s="8">
        <v>12</v>
      </c>
      <c r="D123" s="11" t="s">
        <v>57</v>
      </c>
      <c r="E123" s="27">
        <f>$AB$11</f>
        <v>68250</v>
      </c>
      <c r="F123" s="27">
        <f t="shared" ref="F123:R123" si="375">$AB$11</f>
        <v>68250</v>
      </c>
      <c r="G123" s="27">
        <f t="shared" si="375"/>
        <v>68250</v>
      </c>
      <c r="H123" s="27">
        <f t="shared" si="375"/>
        <v>68250</v>
      </c>
      <c r="I123" s="27">
        <f t="shared" si="375"/>
        <v>68250</v>
      </c>
      <c r="J123" s="27">
        <f t="shared" si="375"/>
        <v>68250</v>
      </c>
      <c r="K123" s="27">
        <f t="shared" si="375"/>
        <v>68250</v>
      </c>
      <c r="L123" s="27">
        <f t="shared" si="375"/>
        <v>68250</v>
      </c>
      <c r="M123" s="39">
        <f>$AB$38</f>
        <v>80000</v>
      </c>
      <c r="N123" s="47">
        <f t="shared" si="375"/>
        <v>68250</v>
      </c>
      <c r="O123" s="39">
        <f>$AB$38</f>
        <v>80000</v>
      </c>
      <c r="P123" s="47">
        <f t="shared" si="375"/>
        <v>68250</v>
      </c>
      <c r="Q123" s="39">
        <f>$AB$38</f>
        <v>80000</v>
      </c>
      <c r="R123" s="47">
        <f t="shared" si="375"/>
        <v>68250</v>
      </c>
      <c r="S123" s="39">
        <f>$AB$38*1.1</f>
        <v>88000</v>
      </c>
      <c r="T123" s="47">
        <f>$AB$11*1.1</f>
        <v>75075</v>
      </c>
      <c r="U123" s="28">
        <f t="shared" si="340"/>
        <v>874000</v>
      </c>
      <c r="V123" s="28">
        <f t="shared" si="341"/>
        <v>825825</v>
      </c>
      <c r="W123" s="4"/>
    </row>
    <row r="124" spans="1:23" x14ac:dyDescent="0.25">
      <c r="A124">
        <v>40</v>
      </c>
      <c r="B124" s="16" t="s">
        <v>146</v>
      </c>
      <c r="C124" s="8">
        <v>10</v>
      </c>
      <c r="D124" s="9" t="s">
        <v>38</v>
      </c>
      <c r="E124" s="27">
        <f>$AB$5</f>
        <v>68250</v>
      </c>
      <c r="F124" s="27">
        <f t="shared" ref="F124:R125" si="376">$AB$5</f>
        <v>68250</v>
      </c>
      <c r="G124" s="27">
        <f t="shared" si="376"/>
        <v>68250</v>
      </c>
      <c r="H124" s="27">
        <f t="shared" si="376"/>
        <v>68250</v>
      </c>
      <c r="I124" s="27">
        <f t="shared" si="376"/>
        <v>68250</v>
      </c>
      <c r="J124" s="27">
        <f t="shared" si="376"/>
        <v>68250</v>
      </c>
      <c r="K124" s="27">
        <f t="shared" si="376"/>
        <v>68250</v>
      </c>
      <c r="L124" s="27">
        <f t="shared" si="376"/>
        <v>68250</v>
      </c>
      <c r="M124" s="39">
        <f>$AB$32</f>
        <v>30000</v>
      </c>
      <c r="N124" s="47">
        <f t="shared" si="376"/>
        <v>68250</v>
      </c>
      <c r="O124" s="39">
        <f>$AB$32</f>
        <v>30000</v>
      </c>
      <c r="P124" s="47">
        <f t="shared" si="376"/>
        <v>68250</v>
      </c>
      <c r="Q124" s="39">
        <f>$AB$32</f>
        <v>30000</v>
      </c>
      <c r="R124" s="47">
        <f t="shared" si="376"/>
        <v>68250</v>
      </c>
      <c r="S124" s="39">
        <f t="shared" ref="S124:S125" si="377">$AB$32*1.2</f>
        <v>36000</v>
      </c>
      <c r="T124" s="47">
        <f>$AB$5*1.1</f>
        <v>75075</v>
      </c>
      <c r="U124" s="28">
        <f t="shared" si="340"/>
        <v>672000</v>
      </c>
      <c r="V124" s="28">
        <f t="shared" si="341"/>
        <v>825825</v>
      </c>
      <c r="W124" s="4"/>
    </row>
    <row r="125" spans="1:23" x14ac:dyDescent="0.25">
      <c r="A125">
        <v>41</v>
      </c>
      <c r="B125" s="16" t="s">
        <v>146</v>
      </c>
      <c r="C125" s="31">
        <v>10</v>
      </c>
      <c r="D125" s="13" t="s">
        <v>39</v>
      </c>
      <c r="E125" s="27">
        <f>$AB$5</f>
        <v>68250</v>
      </c>
      <c r="F125" s="27">
        <f t="shared" si="376"/>
        <v>68250</v>
      </c>
      <c r="G125" s="27">
        <f t="shared" si="376"/>
        <v>68250</v>
      </c>
      <c r="H125" s="27">
        <f t="shared" si="376"/>
        <v>68250</v>
      </c>
      <c r="I125" s="27">
        <f t="shared" si="376"/>
        <v>68250</v>
      </c>
      <c r="J125" s="27">
        <f t="shared" si="376"/>
        <v>68250</v>
      </c>
      <c r="K125" s="27">
        <f t="shared" si="376"/>
        <v>68250</v>
      </c>
      <c r="L125" s="27">
        <f t="shared" si="376"/>
        <v>68250</v>
      </c>
      <c r="M125" s="39">
        <f>$AB$32</f>
        <v>30000</v>
      </c>
      <c r="N125" s="47">
        <f t="shared" si="376"/>
        <v>68250</v>
      </c>
      <c r="O125" s="39">
        <f>$AB$32</f>
        <v>30000</v>
      </c>
      <c r="P125" s="47">
        <f t="shared" si="376"/>
        <v>68250</v>
      </c>
      <c r="Q125" s="39">
        <f>$AB$32</f>
        <v>30000</v>
      </c>
      <c r="R125" s="47">
        <f t="shared" si="376"/>
        <v>68250</v>
      </c>
      <c r="S125" s="39">
        <f t="shared" si="377"/>
        <v>36000</v>
      </c>
      <c r="T125" s="47">
        <f>$AB$5*1.1</f>
        <v>75075</v>
      </c>
      <c r="U125" s="28">
        <f t="shared" si="340"/>
        <v>672000</v>
      </c>
      <c r="V125" s="28">
        <f t="shared" si="341"/>
        <v>825825</v>
      </c>
      <c r="W125" s="4"/>
    </row>
    <row r="126" spans="1:23" x14ac:dyDescent="0.25">
      <c r="A126">
        <v>42</v>
      </c>
      <c r="B126" s="15" t="s">
        <v>68</v>
      </c>
      <c r="C126" s="8">
        <v>10</v>
      </c>
      <c r="D126" s="11" t="s">
        <v>58</v>
      </c>
      <c r="E126" s="27">
        <f>$AB$15</f>
        <v>68250</v>
      </c>
      <c r="F126" s="27">
        <f t="shared" ref="F126:R126" si="378">$AB$15</f>
        <v>68250</v>
      </c>
      <c r="G126" s="27">
        <f t="shared" si="378"/>
        <v>68250</v>
      </c>
      <c r="H126" s="27">
        <f t="shared" si="378"/>
        <v>68250</v>
      </c>
      <c r="I126" s="27">
        <f t="shared" si="378"/>
        <v>68250</v>
      </c>
      <c r="J126" s="27">
        <f t="shared" si="378"/>
        <v>68250</v>
      </c>
      <c r="K126" s="27">
        <f t="shared" si="378"/>
        <v>68250</v>
      </c>
      <c r="L126" s="27">
        <f t="shared" si="378"/>
        <v>68250</v>
      </c>
      <c r="M126" s="39">
        <f>$AB$42</f>
        <v>75000</v>
      </c>
      <c r="N126" s="47">
        <f t="shared" si="378"/>
        <v>68250</v>
      </c>
      <c r="O126" s="39">
        <f t="shared" ref="O126" si="379">$AB$42</f>
        <v>75000</v>
      </c>
      <c r="P126" s="47">
        <f t="shared" si="378"/>
        <v>68250</v>
      </c>
      <c r="Q126" s="39">
        <f>$AB$42</f>
        <v>75000</v>
      </c>
      <c r="R126" s="47">
        <f t="shared" si="378"/>
        <v>68250</v>
      </c>
      <c r="S126" s="39">
        <f>$AB$42*1.1</f>
        <v>82500</v>
      </c>
      <c r="T126" s="47">
        <f>$AB$15*1.1</f>
        <v>75075</v>
      </c>
      <c r="U126" s="28">
        <f t="shared" si="340"/>
        <v>853500</v>
      </c>
      <c r="V126" s="28">
        <f t="shared" si="341"/>
        <v>825825</v>
      </c>
      <c r="W126" s="4"/>
    </row>
    <row r="127" spans="1:23" x14ac:dyDescent="0.25">
      <c r="A127">
        <v>43</v>
      </c>
      <c r="B127" s="16" t="s">
        <v>146</v>
      </c>
      <c r="C127" s="8">
        <v>10</v>
      </c>
      <c r="D127" s="9" t="s">
        <v>40</v>
      </c>
      <c r="E127" s="27">
        <f>$AB$5</f>
        <v>68250</v>
      </c>
      <c r="F127" s="27">
        <f t="shared" ref="F127:R127" si="380">$AB$5</f>
        <v>68250</v>
      </c>
      <c r="G127" s="27">
        <f t="shared" si="380"/>
        <v>68250</v>
      </c>
      <c r="H127" s="27">
        <f t="shared" si="380"/>
        <v>68250</v>
      </c>
      <c r="I127" s="27">
        <f t="shared" si="380"/>
        <v>68250</v>
      </c>
      <c r="J127" s="27">
        <f t="shared" si="380"/>
        <v>68250</v>
      </c>
      <c r="K127" s="27">
        <f t="shared" si="380"/>
        <v>68250</v>
      </c>
      <c r="L127" s="27">
        <f t="shared" si="380"/>
        <v>68250</v>
      </c>
      <c r="M127" s="39">
        <f>$AB$32</f>
        <v>30000</v>
      </c>
      <c r="N127" s="47">
        <f t="shared" si="380"/>
        <v>68250</v>
      </c>
      <c r="O127" s="39">
        <f>$AB$32</f>
        <v>30000</v>
      </c>
      <c r="P127" s="47">
        <f t="shared" si="380"/>
        <v>68250</v>
      </c>
      <c r="Q127" s="39">
        <f>$AB$32</f>
        <v>30000</v>
      </c>
      <c r="R127" s="47">
        <f t="shared" si="380"/>
        <v>68250</v>
      </c>
      <c r="S127" s="39">
        <f>$AB$32*1.2</f>
        <v>36000</v>
      </c>
      <c r="T127" s="47">
        <f>$AB$5*1.1</f>
        <v>75075</v>
      </c>
      <c r="U127" s="28">
        <f t="shared" si="340"/>
        <v>672000</v>
      </c>
      <c r="V127" s="28">
        <f t="shared" si="341"/>
        <v>825825</v>
      </c>
      <c r="W127" s="4"/>
    </row>
    <row r="128" spans="1:23" x14ac:dyDescent="0.25">
      <c r="A128">
        <v>44</v>
      </c>
      <c r="B128" s="32" t="s">
        <v>152</v>
      </c>
      <c r="C128" s="8">
        <v>8</v>
      </c>
      <c r="D128" s="9" t="s">
        <v>156</v>
      </c>
      <c r="E128" s="27">
        <v>0</v>
      </c>
      <c r="F128" s="27">
        <v>60000</v>
      </c>
      <c r="G128" s="27">
        <v>120000</v>
      </c>
      <c r="H128" s="27">
        <v>120000</v>
      </c>
      <c r="I128" s="27">
        <v>135000</v>
      </c>
      <c r="J128" s="27">
        <f t="shared" ref="J128:R128" si="381">$AB$24</f>
        <v>150000</v>
      </c>
      <c r="K128" s="27">
        <f t="shared" si="381"/>
        <v>150000</v>
      </c>
      <c r="L128" s="27">
        <f t="shared" si="381"/>
        <v>150000</v>
      </c>
      <c r="M128" s="39">
        <f>$AB$51</f>
        <v>150000</v>
      </c>
      <c r="N128" s="47">
        <f t="shared" si="381"/>
        <v>150000</v>
      </c>
      <c r="O128" s="39">
        <f>$AB$51</f>
        <v>150000</v>
      </c>
      <c r="P128" s="47">
        <f t="shared" si="381"/>
        <v>150000</v>
      </c>
      <c r="Q128" s="39">
        <f>$AB$51</f>
        <v>150000</v>
      </c>
      <c r="R128" s="47">
        <f t="shared" si="381"/>
        <v>150000</v>
      </c>
      <c r="S128" s="39">
        <f>$AB$51*1.1</f>
        <v>165000</v>
      </c>
      <c r="T128" s="47">
        <f>$AB$24*1.1</f>
        <v>165000</v>
      </c>
      <c r="U128" s="28">
        <f t="shared" si="340"/>
        <v>1500000</v>
      </c>
      <c r="V128" s="28">
        <f t="shared" si="341"/>
        <v>1500000</v>
      </c>
      <c r="W128" s="4"/>
    </row>
    <row r="129" spans="1:23" x14ac:dyDescent="0.25">
      <c r="A129">
        <v>45</v>
      </c>
      <c r="B129" s="16" t="s">
        <v>139</v>
      </c>
      <c r="C129" s="8">
        <v>10</v>
      </c>
      <c r="D129" s="9"/>
      <c r="E129" s="27">
        <v>0</v>
      </c>
      <c r="F129" s="27">
        <v>0</v>
      </c>
      <c r="G129" s="27">
        <f t="shared" ref="G129:G136" si="382">$AB$18</f>
        <v>68250</v>
      </c>
      <c r="H129" s="27">
        <f t="shared" ref="H129:R138" si="383">$AB$18</f>
        <v>68250</v>
      </c>
      <c r="I129" s="27">
        <f t="shared" si="383"/>
        <v>68250</v>
      </c>
      <c r="J129" s="27">
        <f t="shared" si="383"/>
        <v>68250</v>
      </c>
      <c r="K129" s="27">
        <f t="shared" si="383"/>
        <v>68250</v>
      </c>
      <c r="L129" s="27">
        <f t="shared" si="383"/>
        <v>68250</v>
      </c>
      <c r="M129" s="39">
        <f>$AB$45</f>
        <v>30000</v>
      </c>
      <c r="N129" s="47">
        <f t="shared" si="383"/>
        <v>68250</v>
      </c>
      <c r="O129" s="39">
        <f>$AB$45</f>
        <v>30000</v>
      </c>
      <c r="P129" s="47">
        <f t="shared" si="383"/>
        <v>68250</v>
      </c>
      <c r="Q129" s="39">
        <f>$AB$45</f>
        <v>30000</v>
      </c>
      <c r="R129" s="47">
        <f t="shared" si="383"/>
        <v>68250</v>
      </c>
      <c r="S129" s="39">
        <f>$AB$45*1.2</f>
        <v>36000</v>
      </c>
      <c r="T129" s="47">
        <f t="shared" ref="T129:T138" si="384">$AB$18*1.1</f>
        <v>75075</v>
      </c>
      <c r="U129" s="28">
        <f t="shared" si="340"/>
        <v>535500</v>
      </c>
      <c r="V129" s="28">
        <f t="shared" si="341"/>
        <v>689325</v>
      </c>
      <c r="W129" s="4"/>
    </row>
    <row r="130" spans="1:23" x14ac:dyDescent="0.25">
      <c r="A130">
        <v>46</v>
      </c>
      <c r="B130" s="16" t="s">
        <v>139</v>
      </c>
      <c r="C130" s="8">
        <v>10</v>
      </c>
      <c r="D130" s="11"/>
      <c r="E130" s="27">
        <v>0</v>
      </c>
      <c r="F130" s="27">
        <v>0</v>
      </c>
      <c r="G130" s="27">
        <f t="shared" si="382"/>
        <v>68250</v>
      </c>
      <c r="H130" s="27">
        <f t="shared" si="383"/>
        <v>68250</v>
      </c>
      <c r="I130" s="27">
        <f t="shared" si="383"/>
        <v>68250</v>
      </c>
      <c r="J130" s="27">
        <f t="shared" si="383"/>
        <v>68250</v>
      </c>
      <c r="K130" s="27">
        <f t="shared" si="383"/>
        <v>68250</v>
      </c>
      <c r="L130" s="27">
        <f t="shared" si="383"/>
        <v>68250</v>
      </c>
      <c r="M130" s="39">
        <f t="shared" ref="M130:M131" si="385">$AB$45</f>
        <v>30000</v>
      </c>
      <c r="N130" s="47">
        <f t="shared" si="383"/>
        <v>68250</v>
      </c>
      <c r="O130" s="39">
        <f>$AB$45</f>
        <v>30000</v>
      </c>
      <c r="P130" s="47">
        <f t="shared" si="383"/>
        <v>68250</v>
      </c>
      <c r="Q130" s="39">
        <f>$AB$45</f>
        <v>30000</v>
      </c>
      <c r="R130" s="47">
        <f t="shared" si="383"/>
        <v>68250</v>
      </c>
      <c r="S130" s="39">
        <f t="shared" ref="S130:S131" si="386">$AB$45*1.2</f>
        <v>36000</v>
      </c>
      <c r="T130" s="47">
        <f t="shared" si="384"/>
        <v>75075</v>
      </c>
      <c r="U130" s="28">
        <f t="shared" si="340"/>
        <v>535500</v>
      </c>
      <c r="V130" s="28">
        <f t="shared" si="341"/>
        <v>689325</v>
      </c>
      <c r="W130" s="4"/>
    </row>
    <row r="131" spans="1:23" x14ac:dyDescent="0.25">
      <c r="A131">
        <v>47</v>
      </c>
      <c r="B131" s="16" t="s">
        <v>139</v>
      </c>
      <c r="C131" s="8">
        <v>10</v>
      </c>
      <c r="D131" s="11"/>
      <c r="E131" s="34">
        <v>0</v>
      </c>
      <c r="F131" s="34">
        <v>0</v>
      </c>
      <c r="G131" s="27">
        <f t="shared" si="382"/>
        <v>68250</v>
      </c>
      <c r="H131" s="27">
        <f t="shared" si="383"/>
        <v>68250</v>
      </c>
      <c r="I131" s="27">
        <f t="shared" si="383"/>
        <v>68250</v>
      </c>
      <c r="J131" s="27">
        <f t="shared" si="383"/>
        <v>68250</v>
      </c>
      <c r="K131" s="27">
        <f t="shared" si="383"/>
        <v>68250</v>
      </c>
      <c r="L131" s="27">
        <f t="shared" si="383"/>
        <v>68250</v>
      </c>
      <c r="M131" s="39">
        <f t="shared" si="385"/>
        <v>30000</v>
      </c>
      <c r="N131" s="47">
        <f t="shared" si="383"/>
        <v>68250</v>
      </c>
      <c r="O131" s="39">
        <f>$AB$45</f>
        <v>30000</v>
      </c>
      <c r="P131" s="47">
        <f t="shared" si="383"/>
        <v>68250</v>
      </c>
      <c r="Q131" s="39">
        <f>$AB$45</f>
        <v>30000</v>
      </c>
      <c r="R131" s="47">
        <f t="shared" si="383"/>
        <v>68250</v>
      </c>
      <c r="S131" s="39">
        <f t="shared" si="386"/>
        <v>36000</v>
      </c>
      <c r="T131" s="47">
        <f t="shared" si="384"/>
        <v>75075</v>
      </c>
      <c r="U131" s="28">
        <f t="shared" si="340"/>
        <v>535500</v>
      </c>
      <c r="V131" s="28">
        <f t="shared" si="341"/>
        <v>689325</v>
      </c>
      <c r="W131" s="4"/>
    </row>
    <row r="132" spans="1:23" x14ac:dyDescent="0.25">
      <c r="A132">
        <v>48</v>
      </c>
      <c r="B132" s="16" t="s">
        <v>139</v>
      </c>
      <c r="C132" s="8">
        <v>10</v>
      </c>
      <c r="D132" s="11"/>
      <c r="E132" s="34">
        <v>0</v>
      </c>
      <c r="F132" s="34">
        <v>0</v>
      </c>
      <c r="G132" s="27">
        <f t="shared" si="382"/>
        <v>68250</v>
      </c>
      <c r="H132" s="27">
        <f t="shared" si="383"/>
        <v>68250</v>
      </c>
      <c r="I132" s="27">
        <f t="shared" si="383"/>
        <v>68250</v>
      </c>
      <c r="J132" s="27">
        <f t="shared" si="383"/>
        <v>68250</v>
      </c>
      <c r="K132" s="27">
        <f t="shared" si="383"/>
        <v>68250</v>
      </c>
      <c r="L132" s="27">
        <f t="shared" si="383"/>
        <v>68250</v>
      </c>
      <c r="M132" s="39">
        <v>0</v>
      </c>
      <c r="N132" s="47">
        <f t="shared" si="383"/>
        <v>68250</v>
      </c>
      <c r="O132" s="39">
        <v>0</v>
      </c>
      <c r="P132" s="47">
        <f t="shared" si="383"/>
        <v>68250</v>
      </c>
      <c r="Q132" s="39">
        <v>0</v>
      </c>
      <c r="R132" s="47">
        <f t="shared" si="383"/>
        <v>68250</v>
      </c>
      <c r="S132" s="39">
        <v>0</v>
      </c>
      <c r="T132" s="47">
        <f t="shared" si="384"/>
        <v>75075</v>
      </c>
      <c r="U132" s="28">
        <f t="shared" si="340"/>
        <v>409500</v>
      </c>
      <c r="V132" s="28">
        <f t="shared" si="341"/>
        <v>689325</v>
      </c>
      <c r="W132" s="4"/>
    </row>
    <row r="133" spans="1:23" x14ac:dyDescent="0.25">
      <c r="A133">
        <v>49</v>
      </c>
      <c r="B133" s="16" t="s">
        <v>139</v>
      </c>
      <c r="C133" s="8">
        <v>10</v>
      </c>
      <c r="D133" s="11"/>
      <c r="E133" s="34">
        <v>0</v>
      </c>
      <c r="F133" s="34">
        <v>0</v>
      </c>
      <c r="G133" s="27">
        <f t="shared" si="382"/>
        <v>68250</v>
      </c>
      <c r="H133" s="27">
        <f t="shared" si="383"/>
        <v>68250</v>
      </c>
      <c r="I133" s="27">
        <f t="shared" si="383"/>
        <v>68250</v>
      </c>
      <c r="J133" s="27">
        <f t="shared" si="383"/>
        <v>68250</v>
      </c>
      <c r="K133" s="27">
        <f t="shared" si="383"/>
        <v>68250</v>
      </c>
      <c r="L133" s="27">
        <f t="shared" si="383"/>
        <v>68250</v>
      </c>
      <c r="M133" s="39">
        <v>0</v>
      </c>
      <c r="N133" s="47">
        <f t="shared" si="383"/>
        <v>68250</v>
      </c>
      <c r="O133" s="39">
        <v>0</v>
      </c>
      <c r="P133" s="47">
        <f t="shared" si="383"/>
        <v>68250</v>
      </c>
      <c r="Q133" s="39">
        <v>0</v>
      </c>
      <c r="R133" s="47">
        <f t="shared" si="383"/>
        <v>68250</v>
      </c>
      <c r="S133" s="39">
        <v>0</v>
      </c>
      <c r="T133" s="47">
        <f t="shared" si="384"/>
        <v>75075</v>
      </c>
      <c r="U133" s="28">
        <f t="shared" si="340"/>
        <v>409500</v>
      </c>
      <c r="V133" s="28">
        <f t="shared" si="341"/>
        <v>689325</v>
      </c>
      <c r="W133" s="4"/>
    </row>
    <row r="134" spans="1:23" x14ac:dyDescent="0.25">
      <c r="A134">
        <v>50</v>
      </c>
      <c r="B134" s="16" t="s">
        <v>139</v>
      </c>
      <c r="C134" s="8">
        <v>10</v>
      </c>
      <c r="D134" s="11"/>
      <c r="E134" s="34">
        <v>0</v>
      </c>
      <c r="F134" s="34">
        <v>0</v>
      </c>
      <c r="G134" s="27">
        <f t="shared" si="382"/>
        <v>68250</v>
      </c>
      <c r="H134" s="27">
        <f t="shared" si="383"/>
        <v>68250</v>
      </c>
      <c r="I134" s="27">
        <f t="shared" si="383"/>
        <v>68250</v>
      </c>
      <c r="J134" s="27">
        <f t="shared" si="383"/>
        <v>68250</v>
      </c>
      <c r="K134" s="27">
        <f t="shared" si="383"/>
        <v>68250</v>
      </c>
      <c r="L134" s="27">
        <f t="shared" si="383"/>
        <v>68250</v>
      </c>
      <c r="M134" s="39">
        <v>0</v>
      </c>
      <c r="N134" s="47">
        <f t="shared" si="383"/>
        <v>68250</v>
      </c>
      <c r="O134" s="39">
        <v>0</v>
      </c>
      <c r="P134" s="47">
        <f t="shared" si="383"/>
        <v>68250</v>
      </c>
      <c r="Q134" s="39">
        <v>0</v>
      </c>
      <c r="R134" s="47">
        <f t="shared" si="383"/>
        <v>68250</v>
      </c>
      <c r="S134" s="39">
        <v>0</v>
      </c>
      <c r="T134" s="47">
        <f t="shared" si="384"/>
        <v>75075</v>
      </c>
      <c r="U134" s="28">
        <f t="shared" si="340"/>
        <v>409500</v>
      </c>
      <c r="V134" s="28">
        <f t="shared" si="341"/>
        <v>689325</v>
      </c>
      <c r="W134" s="4"/>
    </row>
    <row r="135" spans="1:23" x14ac:dyDescent="0.25">
      <c r="A135">
        <v>51</v>
      </c>
      <c r="B135" s="16" t="s">
        <v>139</v>
      </c>
      <c r="C135" s="8">
        <v>10</v>
      </c>
      <c r="D135" s="11"/>
      <c r="E135" s="34">
        <v>0</v>
      </c>
      <c r="F135" s="34">
        <v>0</v>
      </c>
      <c r="G135" s="27">
        <f t="shared" si="382"/>
        <v>68250</v>
      </c>
      <c r="H135" s="27">
        <f t="shared" si="383"/>
        <v>68250</v>
      </c>
      <c r="I135" s="27">
        <f t="shared" si="383"/>
        <v>68250</v>
      </c>
      <c r="J135" s="27">
        <f t="shared" si="383"/>
        <v>68250</v>
      </c>
      <c r="K135" s="27">
        <f t="shared" si="383"/>
        <v>68250</v>
      </c>
      <c r="L135" s="27">
        <f t="shared" si="383"/>
        <v>68250</v>
      </c>
      <c r="M135" s="39">
        <v>0</v>
      </c>
      <c r="N135" s="47">
        <f t="shared" si="383"/>
        <v>68250</v>
      </c>
      <c r="O135" s="39">
        <v>0</v>
      </c>
      <c r="P135" s="47">
        <f t="shared" si="383"/>
        <v>68250</v>
      </c>
      <c r="Q135" s="39">
        <v>0</v>
      </c>
      <c r="R135" s="47">
        <f t="shared" si="383"/>
        <v>68250</v>
      </c>
      <c r="S135" s="39">
        <v>0</v>
      </c>
      <c r="T135" s="47">
        <f t="shared" si="384"/>
        <v>75075</v>
      </c>
      <c r="U135" s="28">
        <f t="shared" si="340"/>
        <v>409500</v>
      </c>
      <c r="V135" s="28">
        <f t="shared" si="341"/>
        <v>689325</v>
      </c>
      <c r="W135" s="4"/>
    </row>
    <row r="136" spans="1:23" x14ac:dyDescent="0.25">
      <c r="A136">
        <v>52</v>
      </c>
      <c r="B136" s="16" t="s">
        <v>139</v>
      </c>
      <c r="C136" s="8">
        <v>10</v>
      </c>
      <c r="D136" s="11"/>
      <c r="E136" s="34">
        <v>0</v>
      </c>
      <c r="F136" s="34">
        <v>0</v>
      </c>
      <c r="G136" s="27">
        <f t="shared" si="382"/>
        <v>68250</v>
      </c>
      <c r="H136" s="27">
        <f t="shared" si="383"/>
        <v>68250</v>
      </c>
      <c r="I136" s="27">
        <f t="shared" si="383"/>
        <v>68250</v>
      </c>
      <c r="J136" s="27">
        <f t="shared" si="383"/>
        <v>68250</v>
      </c>
      <c r="K136" s="27">
        <f t="shared" si="383"/>
        <v>68250</v>
      </c>
      <c r="L136" s="27">
        <f t="shared" si="383"/>
        <v>68250</v>
      </c>
      <c r="M136" s="39">
        <v>0</v>
      </c>
      <c r="N136" s="47">
        <f t="shared" si="383"/>
        <v>68250</v>
      </c>
      <c r="O136" s="39">
        <v>0</v>
      </c>
      <c r="P136" s="47">
        <f t="shared" si="383"/>
        <v>68250</v>
      </c>
      <c r="Q136" s="39">
        <v>0</v>
      </c>
      <c r="R136" s="47">
        <f t="shared" si="383"/>
        <v>68250</v>
      </c>
      <c r="S136" s="39">
        <v>0</v>
      </c>
      <c r="T136" s="47">
        <f t="shared" si="384"/>
        <v>75075</v>
      </c>
      <c r="U136" s="28">
        <f t="shared" si="340"/>
        <v>409500</v>
      </c>
      <c r="V136" s="28">
        <f t="shared" si="341"/>
        <v>689325</v>
      </c>
      <c r="W136" s="4"/>
    </row>
    <row r="137" spans="1:23" x14ac:dyDescent="0.25">
      <c r="A137">
        <v>53</v>
      </c>
      <c r="B137" s="16" t="s">
        <v>139</v>
      </c>
      <c r="C137" s="8">
        <v>10</v>
      </c>
      <c r="D137" s="11"/>
      <c r="E137" s="34">
        <v>0</v>
      </c>
      <c r="F137" s="34">
        <v>0</v>
      </c>
      <c r="G137" s="27"/>
      <c r="H137" s="27"/>
      <c r="I137" s="27"/>
      <c r="J137" s="27"/>
      <c r="K137" s="27"/>
      <c r="L137" s="27"/>
      <c r="M137" s="39"/>
      <c r="N137" s="47">
        <f t="shared" si="383"/>
        <v>68250</v>
      </c>
      <c r="O137" s="39">
        <v>0</v>
      </c>
      <c r="P137" s="47">
        <f t="shared" si="383"/>
        <v>68250</v>
      </c>
      <c r="Q137" s="39">
        <v>0</v>
      </c>
      <c r="R137" s="47">
        <f t="shared" si="383"/>
        <v>68250</v>
      </c>
      <c r="S137" s="39">
        <v>0</v>
      </c>
      <c r="T137" s="47">
        <f t="shared" si="384"/>
        <v>75075</v>
      </c>
      <c r="U137" s="28">
        <f t="shared" si="340"/>
        <v>0</v>
      </c>
      <c r="V137" s="28">
        <f t="shared" si="341"/>
        <v>279825</v>
      </c>
      <c r="W137" s="4"/>
    </row>
    <row r="138" spans="1:23" x14ac:dyDescent="0.25">
      <c r="A138">
        <v>54</v>
      </c>
      <c r="B138" s="16" t="s">
        <v>139</v>
      </c>
      <c r="C138" s="8">
        <v>10</v>
      </c>
      <c r="D138" s="11"/>
      <c r="E138" s="34">
        <v>0</v>
      </c>
      <c r="F138" s="34">
        <v>0</v>
      </c>
      <c r="G138" s="27"/>
      <c r="H138" s="27"/>
      <c r="I138" s="27"/>
      <c r="J138" s="27"/>
      <c r="K138" s="27"/>
      <c r="L138" s="27"/>
      <c r="M138" s="39"/>
      <c r="N138" s="47">
        <f t="shared" si="383"/>
        <v>68250</v>
      </c>
      <c r="O138" s="39">
        <v>0</v>
      </c>
      <c r="P138" s="47">
        <f t="shared" si="383"/>
        <v>68250</v>
      </c>
      <c r="Q138" s="39">
        <v>0</v>
      </c>
      <c r="R138" s="47">
        <f t="shared" si="383"/>
        <v>68250</v>
      </c>
      <c r="S138" s="39">
        <v>0</v>
      </c>
      <c r="T138" s="47">
        <f t="shared" si="384"/>
        <v>75075</v>
      </c>
      <c r="U138" s="28">
        <f t="shared" si="340"/>
        <v>0</v>
      </c>
      <c r="V138" s="28">
        <f t="shared" si="341"/>
        <v>279825</v>
      </c>
      <c r="W138" s="4"/>
    </row>
    <row r="139" spans="1:23" x14ac:dyDescent="0.25">
      <c r="A139" s="8">
        <v>55</v>
      </c>
      <c r="B139" s="15" t="s">
        <v>140</v>
      </c>
      <c r="C139" s="8">
        <v>10</v>
      </c>
      <c r="D139" s="11"/>
      <c r="E139" s="27">
        <v>0</v>
      </c>
      <c r="F139" s="27">
        <v>0</v>
      </c>
      <c r="G139" s="27">
        <f>$AB$19</f>
        <v>68250</v>
      </c>
      <c r="H139" s="27">
        <f t="shared" ref="H139:R141" si="387">$AB$19</f>
        <v>68250</v>
      </c>
      <c r="I139" s="27">
        <f t="shared" si="387"/>
        <v>68250</v>
      </c>
      <c r="J139" s="27">
        <f t="shared" si="387"/>
        <v>68250</v>
      </c>
      <c r="K139" s="27">
        <f t="shared" si="387"/>
        <v>68250</v>
      </c>
      <c r="L139" s="27">
        <f t="shared" si="387"/>
        <v>68250</v>
      </c>
      <c r="M139" s="39">
        <f>$AB$46</f>
        <v>75000</v>
      </c>
      <c r="N139" s="47">
        <f t="shared" si="387"/>
        <v>68250</v>
      </c>
      <c r="O139" s="39">
        <f>$AB$46</f>
        <v>75000</v>
      </c>
      <c r="P139" s="47">
        <f t="shared" si="387"/>
        <v>68250</v>
      </c>
      <c r="Q139" s="39">
        <f>$AB$46</f>
        <v>75000</v>
      </c>
      <c r="R139" s="47">
        <f t="shared" si="387"/>
        <v>68250</v>
      </c>
      <c r="S139" s="39">
        <f>$AB$46*1.1</f>
        <v>82500</v>
      </c>
      <c r="T139" s="47">
        <f>$AB$19*1.1</f>
        <v>75075</v>
      </c>
      <c r="U139" s="28">
        <f t="shared" si="340"/>
        <v>717000</v>
      </c>
      <c r="V139" s="28">
        <f t="shared" si="341"/>
        <v>689325</v>
      </c>
      <c r="W139" s="4"/>
    </row>
    <row r="140" spans="1:23" x14ac:dyDescent="0.25">
      <c r="A140" s="8">
        <v>56</v>
      </c>
      <c r="B140" s="15" t="s">
        <v>140</v>
      </c>
      <c r="C140" s="8">
        <v>10</v>
      </c>
      <c r="D140" s="11"/>
      <c r="E140" s="27">
        <v>0</v>
      </c>
      <c r="F140" s="27">
        <v>0</v>
      </c>
      <c r="G140" s="27">
        <f>$AB$19</f>
        <v>68250</v>
      </c>
      <c r="H140" s="27">
        <f t="shared" si="387"/>
        <v>68250</v>
      </c>
      <c r="I140" s="27">
        <f t="shared" si="387"/>
        <v>68250</v>
      </c>
      <c r="J140" s="27">
        <f t="shared" si="387"/>
        <v>68250</v>
      </c>
      <c r="K140" s="27">
        <f t="shared" si="387"/>
        <v>68250</v>
      </c>
      <c r="L140" s="27">
        <f t="shared" si="387"/>
        <v>68250</v>
      </c>
      <c r="M140" s="39">
        <f t="shared" ref="M140:M141" si="388">$AB$46</f>
        <v>75000</v>
      </c>
      <c r="N140" s="47">
        <f t="shared" si="387"/>
        <v>68250</v>
      </c>
      <c r="O140" s="39">
        <f>$AB$46</f>
        <v>75000</v>
      </c>
      <c r="P140" s="47">
        <f t="shared" si="387"/>
        <v>68250</v>
      </c>
      <c r="Q140" s="39">
        <f>$AB$46</f>
        <v>75000</v>
      </c>
      <c r="R140" s="47">
        <f t="shared" si="387"/>
        <v>68250</v>
      </c>
      <c r="S140" s="39">
        <f t="shared" ref="S140:S141" si="389">$AB$46*1.1</f>
        <v>82500</v>
      </c>
      <c r="T140" s="47">
        <f>$AB$19*1.1</f>
        <v>75075</v>
      </c>
      <c r="U140" s="28">
        <f t="shared" si="340"/>
        <v>717000</v>
      </c>
      <c r="V140" s="28">
        <f t="shared" si="341"/>
        <v>689325</v>
      </c>
      <c r="W140" s="4"/>
    </row>
    <row r="141" spans="1:23" x14ac:dyDescent="0.25">
      <c r="A141" s="8">
        <v>57</v>
      </c>
      <c r="B141" s="15" t="s">
        <v>140</v>
      </c>
      <c r="C141" s="8">
        <v>10</v>
      </c>
      <c r="D141" s="11"/>
      <c r="E141" s="27">
        <v>0</v>
      </c>
      <c r="F141" s="27">
        <v>0</v>
      </c>
      <c r="G141" s="27">
        <f>$AB$19</f>
        <v>68250</v>
      </c>
      <c r="H141" s="27">
        <f t="shared" si="387"/>
        <v>68250</v>
      </c>
      <c r="I141" s="27">
        <f t="shared" si="387"/>
        <v>68250</v>
      </c>
      <c r="J141" s="27">
        <f t="shared" si="387"/>
        <v>68250</v>
      </c>
      <c r="K141" s="27">
        <f t="shared" si="387"/>
        <v>68250</v>
      </c>
      <c r="L141" s="27">
        <f t="shared" si="387"/>
        <v>68250</v>
      </c>
      <c r="M141" s="39">
        <f t="shared" si="388"/>
        <v>75000</v>
      </c>
      <c r="N141" s="47">
        <f t="shared" si="387"/>
        <v>68250</v>
      </c>
      <c r="O141" s="39">
        <f>$AB$46</f>
        <v>75000</v>
      </c>
      <c r="P141" s="47">
        <f t="shared" si="387"/>
        <v>68250</v>
      </c>
      <c r="Q141" s="39">
        <f>$AB$46</f>
        <v>75000</v>
      </c>
      <c r="R141" s="47">
        <f t="shared" si="387"/>
        <v>68250</v>
      </c>
      <c r="S141" s="39">
        <f t="shared" si="389"/>
        <v>82500</v>
      </c>
      <c r="T141" s="47">
        <f>$AB$19*1.1</f>
        <v>75075</v>
      </c>
      <c r="U141" s="28">
        <f t="shared" si="340"/>
        <v>717000</v>
      </c>
      <c r="V141" s="28">
        <f t="shared" si="341"/>
        <v>689325</v>
      </c>
      <c r="W141" s="4"/>
    </row>
    <row r="142" spans="1:23" x14ac:dyDescent="0.25">
      <c r="A142" s="8">
        <v>58</v>
      </c>
      <c r="B142" s="24" t="s">
        <v>141</v>
      </c>
      <c r="C142" s="8">
        <v>10</v>
      </c>
      <c r="D142" s="11"/>
      <c r="E142" s="27">
        <v>0</v>
      </c>
      <c r="F142" s="27">
        <v>0</v>
      </c>
      <c r="G142" s="27"/>
      <c r="H142" s="27"/>
      <c r="I142" s="27"/>
      <c r="J142" s="27"/>
      <c r="K142" s="27"/>
      <c r="L142" s="27"/>
      <c r="M142" s="39"/>
      <c r="N142" s="47">
        <f t="shared" ref="N142:R144" si="390">$AB$17</f>
        <v>65000</v>
      </c>
      <c r="O142" s="39"/>
      <c r="P142" s="47">
        <f t="shared" si="390"/>
        <v>65000</v>
      </c>
      <c r="Q142" s="39"/>
      <c r="R142" s="47">
        <f t="shared" si="390"/>
        <v>65000</v>
      </c>
      <c r="S142" s="39"/>
      <c r="T142" s="47">
        <f>$AB$17*1.1</f>
        <v>71500</v>
      </c>
      <c r="U142" s="28">
        <f t="shared" si="340"/>
        <v>0</v>
      </c>
      <c r="V142" s="28">
        <f t="shared" si="341"/>
        <v>266500</v>
      </c>
      <c r="W142" s="4"/>
    </row>
    <row r="143" spans="1:23" x14ac:dyDescent="0.25">
      <c r="A143" s="8">
        <v>59</v>
      </c>
      <c r="B143" s="24" t="s">
        <v>141</v>
      </c>
      <c r="C143" s="8">
        <v>10</v>
      </c>
      <c r="D143" s="11"/>
      <c r="E143" s="27">
        <v>0</v>
      </c>
      <c r="F143" s="27">
        <v>0</v>
      </c>
      <c r="G143" s="27"/>
      <c r="H143" s="27"/>
      <c r="I143" s="27"/>
      <c r="J143" s="27"/>
      <c r="K143" s="27"/>
      <c r="L143" s="27"/>
      <c r="M143" s="39"/>
      <c r="N143" s="47">
        <f t="shared" si="390"/>
        <v>65000</v>
      </c>
      <c r="O143" s="39"/>
      <c r="P143" s="47">
        <f t="shared" si="390"/>
        <v>65000</v>
      </c>
      <c r="Q143" s="39"/>
      <c r="R143" s="47">
        <f t="shared" si="390"/>
        <v>65000</v>
      </c>
      <c r="S143" s="39"/>
      <c r="T143" s="47">
        <f>$AB$17*1.1</f>
        <v>71500</v>
      </c>
      <c r="U143" s="28">
        <f t="shared" si="340"/>
        <v>0</v>
      </c>
      <c r="V143" s="28">
        <f t="shared" si="341"/>
        <v>266500</v>
      </c>
      <c r="W143" s="4"/>
    </row>
    <row r="144" spans="1:23" x14ac:dyDescent="0.25">
      <c r="A144" s="8">
        <v>60</v>
      </c>
      <c r="B144" s="24" t="s">
        <v>141</v>
      </c>
      <c r="C144" s="8">
        <v>10</v>
      </c>
      <c r="D144" s="5"/>
      <c r="E144" s="27">
        <v>0</v>
      </c>
      <c r="F144" s="27">
        <v>0</v>
      </c>
      <c r="G144" s="27"/>
      <c r="H144" s="27"/>
      <c r="I144" s="27"/>
      <c r="J144" s="27"/>
      <c r="K144" s="27"/>
      <c r="L144" s="27"/>
      <c r="M144" s="39"/>
      <c r="N144" s="47">
        <f t="shared" si="390"/>
        <v>65000</v>
      </c>
      <c r="O144" s="39"/>
      <c r="P144" s="47">
        <f t="shared" si="390"/>
        <v>65000</v>
      </c>
      <c r="Q144" s="39"/>
      <c r="R144" s="47">
        <f t="shared" si="390"/>
        <v>65000</v>
      </c>
      <c r="S144" s="39"/>
      <c r="T144" s="47">
        <f>$AB$17*1.1</f>
        <v>71500</v>
      </c>
      <c r="U144" s="28">
        <f t="shared" si="340"/>
        <v>0</v>
      </c>
      <c r="V144" s="28">
        <f t="shared" si="341"/>
        <v>266500</v>
      </c>
      <c r="W144" s="4"/>
    </row>
    <row r="145" spans="1:23" x14ac:dyDescent="0.25">
      <c r="A145" s="8">
        <v>61</v>
      </c>
      <c r="B145" s="8" t="s">
        <v>138</v>
      </c>
      <c r="C145" s="8">
        <v>10</v>
      </c>
      <c r="D145" s="5"/>
      <c r="E145" s="27">
        <v>0</v>
      </c>
      <c r="F145" s="27">
        <v>0</v>
      </c>
      <c r="G145" s="27">
        <f t="shared" ref="G145:R147" si="391">$AB$4</f>
        <v>70000</v>
      </c>
      <c r="H145" s="27">
        <f t="shared" si="391"/>
        <v>70000</v>
      </c>
      <c r="I145" s="27">
        <f t="shared" si="391"/>
        <v>70000</v>
      </c>
      <c r="J145" s="27">
        <f t="shared" si="391"/>
        <v>70000</v>
      </c>
      <c r="K145" s="27">
        <f t="shared" si="391"/>
        <v>70000</v>
      </c>
      <c r="L145" s="27">
        <f t="shared" si="391"/>
        <v>70000</v>
      </c>
      <c r="M145" s="39">
        <f>$AB$31</f>
        <v>70000</v>
      </c>
      <c r="N145" s="47">
        <f t="shared" si="391"/>
        <v>70000</v>
      </c>
      <c r="O145" s="39">
        <f>$AB$31</f>
        <v>70000</v>
      </c>
      <c r="P145" s="47">
        <f t="shared" si="391"/>
        <v>70000</v>
      </c>
      <c r="Q145" s="39">
        <f>$AB$31</f>
        <v>70000</v>
      </c>
      <c r="R145" s="47">
        <f t="shared" si="391"/>
        <v>70000</v>
      </c>
      <c r="S145" s="39">
        <f t="shared" ref="S145:S146" si="392">$AB$31*1.1</f>
        <v>77000</v>
      </c>
      <c r="T145" s="47">
        <f>$AB$4*1.1</f>
        <v>77000</v>
      </c>
      <c r="U145" s="28">
        <f t="shared" si="340"/>
        <v>707000</v>
      </c>
      <c r="V145" s="28">
        <f t="shared" si="341"/>
        <v>707000</v>
      </c>
      <c r="W145" s="4"/>
    </row>
    <row r="146" spans="1:23" x14ac:dyDescent="0.25">
      <c r="A146" s="8">
        <v>62</v>
      </c>
      <c r="B146" s="8" t="s">
        <v>138</v>
      </c>
      <c r="C146" s="8">
        <v>10</v>
      </c>
      <c r="D146" s="5"/>
      <c r="E146" s="27">
        <v>0</v>
      </c>
      <c r="F146" s="27">
        <v>0</v>
      </c>
      <c r="G146" s="27">
        <f t="shared" si="391"/>
        <v>70000</v>
      </c>
      <c r="H146" s="27">
        <f t="shared" si="391"/>
        <v>70000</v>
      </c>
      <c r="I146" s="27">
        <f t="shared" si="391"/>
        <v>70000</v>
      </c>
      <c r="J146" s="27">
        <f t="shared" si="391"/>
        <v>70000</v>
      </c>
      <c r="K146" s="27">
        <f t="shared" si="391"/>
        <v>70000</v>
      </c>
      <c r="L146" s="27">
        <f t="shared" si="391"/>
        <v>70000</v>
      </c>
      <c r="M146" s="39">
        <f>$AB$31</f>
        <v>70000</v>
      </c>
      <c r="N146" s="47">
        <f t="shared" si="391"/>
        <v>70000</v>
      </c>
      <c r="O146" s="39">
        <f>$AB$31</f>
        <v>70000</v>
      </c>
      <c r="P146" s="47">
        <f t="shared" si="391"/>
        <v>70000</v>
      </c>
      <c r="Q146" s="39">
        <f>$AB$31</f>
        <v>70000</v>
      </c>
      <c r="R146" s="47">
        <f t="shared" si="391"/>
        <v>70000</v>
      </c>
      <c r="S146" s="39">
        <f t="shared" si="392"/>
        <v>77000</v>
      </c>
      <c r="T146" s="47">
        <f>$AB$4*1.1</f>
        <v>77000</v>
      </c>
      <c r="U146" s="28">
        <f t="shared" si="340"/>
        <v>707000</v>
      </c>
      <c r="V146" s="28">
        <f t="shared" si="341"/>
        <v>707000</v>
      </c>
      <c r="W146" s="4"/>
    </row>
    <row r="147" spans="1:23" x14ac:dyDescent="0.25">
      <c r="A147" s="8">
        <v>63</v>
      </c>
      <c r="B147" s="8" t="s">
        <v>138</v>
      </c>
      <c r="C147" s="8">
        <v>10</v>
      </c>
      <c r="D147" s="5"/>
      <c r="E147" s="27">
        <v>0</v>
      </c>
      <c r="F147" s="27">
        <v>0</v>
      </c>
      <c r="G147" s="27"/>
      <c r="H147" s="27"/>
      <c r="I147" s="27"/>
      <c r="J147" s="27"/>
      <c r="K147" s="27"/>
      <c r="L147" s="27"/>
      <c r="M147" s="39"/>
      <c r="N147" s="47">
        <f t="shared" si="391"/>
        <v>70000</v>
      </c>
      <c r="O147" s="39"/>
      <c r="P147" s="47">
        <f t="shared" si="391"/>
        <v>70000</v>
      </c>
      <c r="Q147" s="39"/>
      <c r="R147" s="47">
        <f t="shared" si="391"/>
        <v>70000</v>
      </c>
      <c r="S147" s="39"/>
      <c r="T147" s="47">
        <f>$AB$4*1.1</f>
        <v>77000</v>
      </c>
      <c r="U147" s="28">
        <f t="shared" si="340"/>
        <v>0</v>
      </c>
      <c r="V147" s="28">
        <f t="shared" si="341"/>
        <v>287000</v>
      </c>
      <c r="W147" s="4"/>
    </row>
    <row r="148" spans="1:23" x14ac:dyDescent="0.25">
      <c r="A148" s="8">
        <v>64</v>
      </c>
      <c r="B148" s="16" t="s">
        <v>145</v>
      </c>
      <c r="C148" s="8">
        <v>10</v>
      </c>
      <c r="D148" s="5"/>
      <c r="E148" s="27">
        <v>0</v>
      </c>
      <c r="F148" s="27">
        <v>0</v>
      </c>
      <c r="G148" s="27">
        <f t="shared" ref="G148:R148" si="393">$AB$6</f>
        <v>68250</v>
      </c>
      <c r="H148" s="27">
        <f t="shared" si="393"/>
        <v>68250</v>
      </c>
      <c r="I148" s="27">
        <f t="shared" si="393"/>
        <v>68250</v>
      </c>
      <c r="J148" s="27">
        <f t="shared" si="393"/>
        <v>68250</v>
      </c>
      <c r="K148" s="27">
        <f t="shared" si="393"/>
        <v>68250</v>
      </c>
      <c r="L148" s="27">
        <f t="shared" si="393"/>
        <v>68250</v>
      </c>
      <c r="M148" s="39">
        <f>$AB$33</f>
        <v>75000</v>
      </c>
      <c r="N148" s="47">
        <f t="shared" si="393"/>
        <v>68250</v>
      </c>
      <c r="O148" s="39">
        <f>$AB$33</f>
        <v>75000</v>
      </c>
      <c r="P148" s="47">
        <f t="shared" si="393"/>
        <v>68250</v>
      </c>
      <c r="Q148" s="39">
        <f>$AB$33</f>
        <v>75000</v>
      </c>
      <c r="R148" s="47">
        <f t="shared" si="393"/>
        <v>68250</v>
      </c>
      <c r="S148" s="39">
        <f>$AB$33*1.1</f>
        <v>82500</v>
      </c>
      <c r="T148" s="47">
        <f>$AB$6*1.1</f>
        <v>75075</v>
      </c>
      <c r="U148" s="28">
        <f t="shared" si="340"/>
        <v>717000</v>
      </c>
      <c r="V148" s="28">
        <f t="shared" si="341"/>
        <v>689325</v>
      </c>
      <c r="W148" s="4"/>
    </row>
    <row r="149" spans="1:23" ht="30" x14ac:dyDescent="0.25">
      <c r="A149" s="8">
        <v>65</v>
      </c>
      <c r="B149" s="9" t="s">
        <v>148</v>
      </c>
      <c r="C149" s="8">
        <v>8</v>
      </c>
      <c r="D149" s="5" t="s">
        <v>159</v>
      </c>
      <c r="E149" s="27">
        <f>$AB$21</f>
        <v>100000</v>
      </c>
      <c r="F149" s="27">
        <v>195000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28">
        <f t="shared" si="340"/>
        <v>295000</v>
      </c>
      <c r="V149" s="28">
        <f t="shared" si="341"/>
        <v>295000</v>
      </c>
      <c r="W149" s="4"/>
    </row>
    <row r="150" spans="1:23" x14ac:dyDescent="0.25">
      <c r="A150" s="8">
        <v>66</v>
      </c>
      <c r="B150" s="9" t="s">
        <v>147</v>
      </c>
      <c r="C150" s="9">
        <v>8</v>
      </c>
      <c r="D150" s="5"/>
      <c r="E150" s="27">
        <v>0</v>
      </c>
      <c r="F150" s="27">
        <v>0</v>
      </c>
      <c r="G150" s="27">
        <f>$AB$20</f>
        <v>70000</v>
      </c>
      <c r="H150" s="27">
        <f t="shared" ref="H150:R150" si="394">$AB$20</f>
        <v>70000</v>
      </c>
      <c r="I150" s="27">
        <f t="shared" si="394"/>
        <v>70000</v>
      </c>
      <c r="J150" s="27">
        <f t="shared" si="394"/>
        <v>70000</v>
      </c>
      <c r="K150" s="27">
        <f t="shared" si="394"/>
        <v>70000</v>
      </c>
      <c r="L150" s="27">
        <f t="shared" si="394"/>
        <v>70000</v>
      </c>
      <c r="M150" s="39">
        <f>$AB$47</f>
        <v>70000</v>
      </c>
      <c r="N150" s="47">
        <f t="shared" si="394"/>
        <v>70000</v>
      </c>
      <c r="O150" s="39">
        <f>$AB$47</f>
        <v>70000</v>
      </c>
      <c r="P150" s="47">
        <f t="shared" si="394"/>
        <v>70000</v>
      </c>
      <c r="Q150" s="39">
        <f>$AB$47</f>
        <v>70000</v>
      </c>
      <c r="R150" s="47">
        <f t="shared" si="394"/>
        <v>70000</v>
      </c>
      <c r="S150" s="39">
        <f>$AB$47*1.1</f>
        <v>77000</v>
      </c>
      <c r="T150" s="47">
        <f>$AB$20*1.1</f>
        <v>77000</v>
      </c>
      <c r="U150" s="28">
        <f t="shared" ref="U150:U156" si="395">SUM(E150:L150,M150,O150,Q150,S150)</f>
        <v>707000</v>
      </c>
      <c r="V150" s="28">
        <f t="shared" ref="V150:V156" si="396">SUM(E150:L150,N150,P150,R150,T150)</f>
        <v>707000</v>
      </c>
      <c r="W150" s="4"/>
    </row>
    <row r="151" spans="1:23" x14ac:dyDescent="0.25">
      <c r="A151" s="8">
        <v>67</v>
      </c>
      <c r="B151" s="9" t="s">
        <v>168</v>
      </c>
      <c r="C151" s="9">
        <v>8</v>
      </c>
      <c r="D151" s="5"/>
      <c r="E151" s="27">
        <v>0</v>
      </c>
      <c r="F151" s="27">
        <v>0</v>
      </c>
      <c r="G151" s="27"/>
      <c r="H151" s="27"/>
      <c r="I151" s="27"/>
      <c r="J151" s="27"/>
      <c r="K151" s="27"/>
      <c r="L151" s="27"/>
      <c r="M151" s="39"/>
      <c r="N151" s="47"/>
      <c r="O151" s="39"/>
      <c r="P151" s="47"/>
      <c r="Q151" s="39"/>
      <c r="R151" s="47"/>
      <c r="S151" s="39"/>
      <c r="T151" s="47"/>
      <c r="U151" s="28">
        <f t="shared" si="395"/>
        <v>0</v>
      </c>
      <c r="V151" s="28">
        <f t="shared" si="396"/>
        <v>0</v>
      </c>
      <c r="W151" s="4"/>
    </row>
    <row r="152" spans="1:23" x14ac:dyDescent="0.25">
      <c r="A152" s="8">
        <v>68</v>
      </c>
      <c r="B152" s="9" t="s">
        <v>168</v>
      </c>
      <c r="C152" s="9">
        <v>8</v>
      </c>
      <c r="D152" s="5"/>
      <c r="E152" s="27">
        <v>0</v>
      </c>
      <c r="F152" s="27">
        <v>0</v>
      </c>
      <c r="G152" s="27"/>
      <c r="H152" s="27"/>
      <c r="I152" s="27"/>
      <c r="J152" s="27"/>
      <c r="K152" s="27"/>
      <c r="L152" s="27"/>
      <c r="M152" s="39"/>
      <c r="N152" s="47"/>
      <c r="O152" s="39"/>
      <c r="P152" s="47"/>
      <c r="Q152" s="39"/>
      <c r="R152" s="47"/>
      <c r="S152" s="39"/>
      <c r="T152" s="47"/>
      <c r="U152" s="28">
        <f t="shared" si="395"/>
        <v>0</v>
      </c>
      <c r="V152" s="28">
        <f t="shared" si="396"/>
        <v>0</v>
      </c>
      <c r="W152" s="4"/>
    </row>
    <row r="153" spans="1:23" x14ac:dyDescent="0.25">
      <c r="A153" s="8">
        <v>69</v>
      </c>
      <c r="B153" s="9" t="s">
        <v>168</v>
      </c>
      <c r="C153" s="9">
        <v>8</v>
      </c>
      <c r="D153" s="5"/>
      <c r="E153" s="27">
        <v>0</v>
      </c>
      <c r="F153" s="27">
        <v>0</v>
      </c>
      <c r="G153" s="27"/>
      <c r="H153" s="27"/>
      <c r="I153" s="27"/>
      <c r="J153" s="27"/>
      <c r="K153" s="27"/>
      <c r="L153" s="27"/>
      <c r="M153" s="39"/>
      <c r="N153" s="47"/>
      <c r="O153" s="39"/>
      <c r="P153" s="47"/>
      <c r="Q153" s="39"/>
      <c r="R153" s="47"/>
      <c r="S153" s="39"/>
      <c r="T153" s="47"/>
      <c r="U153" s="28">
        <f t="shared" si="395"/>
        <v>0</v>
      </c>
      <c r="V153" s="28">
        <f t="shared" si="396"/>
        <v>0</v>
      </c>
      <c r="W153" s="4"/>
    </row>
    <row r="154" spans="1:23" x14ac:dyDescent="0.25">
      <c r="A154" s="8">
        <v>70</v>
      </c>
      <c r="B154" s="9" t="s">
        <v>170</v>
      </c>
      <c r="C154" s="9">
        <v>8</v>
      </c>
      <c r="D154" s="5"/>
      <c r="E154" s="27">
        <v>0</v>
      </c>
      <c r="F154" s="27">
        <v>0</v>
      </c>
      <c r="G154" s="27"/>
      <c r="H154" s="27"/>
      <c r="I154" s="27"/>
      <c r="J154" s="27"/>
      <c r="K154" s="27"/>
      <c r="L154" s="27"/>
      <c r="M154" s="39"/>
      <c r="N154" s="47"/>
      <c r="O154" s="39"/>
      <c r="P154" s="47"/>
      <c r="Q154" s="39"/>
      <c r="R154" s="47"/>
      <c r="S154" s="39"/>
      <c r="T154" s="47"/>
      <c r="U154" s="28">
        <f t="shared" si="395"/>
        <v>0</v>
      </c>
      <c r="V154" s="28">
        <f t="shared" si="396"/>
        <v>0</v>
      </c>
      <c r="W154" s="4"/>
    </row>
    <row r="155" spans="1:23" ht="15" customHeight="1" x14ac:dyDescent="0.25">
      <c r="A155" s="8">
        <v>71</v>
      </c>
      <c r="B155" s="16" t="s">
        <v>146</v>
      </c>
      <c r="C155" s="8">
        <v>10</v>
      </c>
      <c r="D155" s="5" t="s">
        <v>157</v>
      </c>
      <c r="E155" s="27">
        <v>68250</v>
      </c>
      <c r="F155" s="27">
        <v>92100</v>
      </c>
      <c r="G155" s="27"/>
      <c r="H155" s="27"/>
      <c r="I155" s="27"/>
      <c r="J155" s="27"/>
      <c r="K155" s="27"/>
      <c r="L155" s="27"/>
      <c r="M155" s="39"/>
      <c r="N155" s="47"/>
      <c r="O155" s="39"/>
      <c r="P155" s="47"/>
      <c r="Q155" s="39"/>
      <c r="R155" s="47"/>
      <c r="S155" s="39"/>
      <c r="T155" s="47"/>
      <c r="U155" s="28">
        <f t="shared" si="395"/>
        <v>160350</v>
      </c>
      <c r="V155" s="28">
        <f t="shared" si="396"/>
        <v>160350</v>
      </c>
      <c r="W155" s="4"/>
    </row>
    <row r="156" spans="1:23" ht="15" customHeight="1" x14ac:dyDescent="0.25">
      <c r="A156" s="8">
        <v>72</v>
      </c>
      <c r="B156" s="16" t="s">
        <v>146</v>
      </c>
      <c r="C156" s="9">
        <v>10</v>
      </c>
      <c r="D156" s="5" t="s">
        <v>158</v>
      </c>
      <c r="E156" s="27">
        <v>68250</v>
      </c>
      <c r="F156" s="27">
        <v>112600</v>
      </c>
      <c r="G156" s="27"/>
      <c r="H156" s="27"/>
      <c r="I156" s="27"/>
      <c r="J156" s="27"/>
      <c r="K156" s="27"/>
      <c r="L156" s="27"/>
      <c r="M156" s="39"/>
      <c r="N156" s="47"/>
      <c r="O156" s="39"/>
      <c r="P156" s="47"/>
      <c r="Q156" s="39"/>
      <c r="R156" s="47"/>
      <c r="S156" s="39"/>
      <c r="T156" s="47"/>
      <c r="U156" s="28">
        <f t="shared" si="395"/>
        <v>180850</v>
      </c>
      <c r="V156" s="28">
        <f t="shared" si="396"/>
        <v>180850</v>
      </c>
      <c r="W156" s="4"/>
    </row>
    <row r="157" spans="1:23" x14ac:dyDescent="0.25">
      <c r="D157" s="6" t="s">
        <v>15</v>
      </c>
      <c r="E157" s="43">
        <f>SUM(E85:E156)</f>
        <v>3316350</v>
      </c>
      <c r="F157" s="43">
        <f t="shared" ref="F157:S157" si="397">SUM(F85:F156)</f>
        <v>3539550</v>
      </c>
      <c r="G157" s="43">
        <f t="shared" si="397"/>
        <v>4250750</v>
      </c>
      <c r="H157" s="43">
        <f t="shared" si="397"/>
        <v>4250750</v>
      </c>
      <c r="I157" s="43">
        <f t="shared" si="397"/>
        <v>4265750</v>
      </c>
      <c r="J157" s="43">
        <f t="shared" si="397"/>
        <v>4280750</v>
      </c>
      <c r="K157" s="43">
        <f t="shared" si="397"/>
        <v>4280750</v>
      </c>
      <c r="L157" s="43">
        <f t="shared" si="397"/>
        <v>4280750</v>
      </c>
      <c r="M157" s="43">
        <f t="shared" si="397"/>
        <v>3160000</v>
      </c>
      <c r="N157" s="49">
        <f t="shared" ref="N157" si="398">SUM(N85:N156)</f>
        <v>4682250</v>
      </c>
      <c r="O157" s="49">
        <f t="shared" si="397"/>
        <v>3160000</v>
      </c>
      <c r="P157" s="49">
        <f t="shared" ref="P157" si="399">SUM(P85:P156)</f>
        <v>4682250</v>
      </c>
      <c r="Q157" s="49">
        <f t="shared" si="397"/>
        <v>3160000</v>
      </c>
      <c r="R157" s="49">
        <f t="shared" ref="R157" si="400">SUM(R85:R156)</f>
        <v>4682250</v>
      </c>
      <c r="S157" s="49">
        <f t="shared" si="397"/>
        <v>3551000</v>
      </c>
      <c r="T157" s="49">
        <f t="shared" ref="T157" si="401">SUM(T85:T156)</f>
        <v>5150475</v>
      </c>
      <c r="U157" s="43">
        <f>SUM(U85:U156)</f>
        <v>45496400</v>
      </c>
      <c r="V157" s="43">
        <f>SUM(V85:V156)</f>
        <v>51662625</v>
      </c>
      <c r="W157" s="7"/>
    </row>
    <row r="162" spans="1:25" x14ac:dyDescent="0.25">
      <c r="B162" s="65" t="s">
        <v>16</v>
      </c>
      <c r="C162" s="65" t="s">
        <v>153</v>
      </c>
      <c r="D162" s="67" t="s">
        <v>1</v>
      </c>
      <c r="E162" s="68" t="s">
        <v>71</v>
      </c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70"/>
      <c r="T162" s="36"/>
      <c r="U162" s="67" t="s">
        <v>70</v>
      </c>
      <c r="V162" s="71" t="s">
        <v>187</v>
      </c>
      <c r="W162" s="71" t="s">
        <v>3</v>
      </c>
      <c r="X162" s="8"/>
    </row>
    <row r="163" spans="1:25" x14ac:dyDescent="0.25">
      <c r="B163" s="66"/>
      <c r="C163" s="66"/>
      <c r="D163" s="67"/>
      <c r="E163" s="3" t="s">
        <v>4</v>
      </c>
      <c r="F163" s="3" t="s">
        <v>5</v>
      </c>
      <c r="G163" s="3" t="s">
        <v>6</v>
      </c>
      <c r="H163" s="3" t="s">
        <v>7</v>
      </c>
      <c r="I163" s="3" t="s">
        <v>8</v>
      </c>
      <c r="J163" s="3" t="s">
        <v>9</v>
      </c>
      <c r="K163" s="3" t="s">
        <v>10</v>
      </c>
      <c r="L163" s="3" t="s">
        <v>11</v>
      </c>
      <c r="M163" s="3" t="s">
        <v>12</v>
      </c>
      <c r="N163" s="3" t="s">
        <v>183</v>
      </c>
      <c r="O163" s="3" t="s">
        <v>13</v>
      </c>
      <c r="P163" s="3" t="s">
        <v>184</v>
      </c>
      <c r="Q163" s="3" t="s">
        <v>14</v>
      </c>
      <c r="R163" s="3" t="s">
        <v>185</v>
      </c>
      <c r="S163" s="3" t="s">
        <v>144</v>
      </c>
      <c r="T163" s="3" t="s">
        <v>186</v>
      </c>
      <c r="U163" s="67"/>
      <c r="V163" s="72"/>
      <c r="W163" s="72"/>
      <c r="X163" s="26" t="s">
        <v>149</v>
      </c>
    </row>
    <row r="164" spans="1:25" x14ac:dyDescent="0.25">
      <c r="A164">
        <v>1</v>
      </c>
      <c r="B164" s="16" t="s">
        <v>146</v>
      </c>
      <c r="C164" s="8">
        <v>12</v>
      </c>
      <c r="D164" s="9" t="s">
        <v>41</v>
      </c>
      <c r="E164" s="27">
        <v>44750</v>
      </c>
      <c r="F164" s="27">
        <v>116750</v>
      </c>
      <c r="G164" s="27">
        <f>$AF$5+$AD$5*$AG$5+$AJ$5</f>
        <v>51750</v>
      </c>
      <c r="H164" s="27">
        <f t="shared" ref="H164:T164" si="402">$AF$5+$AD$5*$AG$5+$AJ$5</f>
        <v>51750</v>
      </c>
      <c r="I164" s="27">
        <f t="shared" si="402"/>
        <v>51750</v>
      </c>
      <c r="J164" s="27">
        <f t="shared" si="402"/>
        <v>51750</v>
      </c>
      <c r="K164" s="27">
        <f t="shared" si="402"/>
        <v>51750</v>
      </c>
      <c r="L164" s="27">
        <f t="shared" si="402"/>
        <v>51750</v>
      </c>
      <c r="M164" s="39">
        <f>$AC$32</f>
        <v>80000</v>
      </c>
      <c r="N164" s="47">
        <f t="shared" si="402"/>
        <v>51750</v>
      </c>
      <c r="O164" s="39">
        <f>$AC$32</f>
        <v>80000</v>
      </c>
      <c r="P164" s="47">
        <f t="shared" si="402"/>
        <v>51750</v>
      </c>
      <c r="Q164" s="39">
        <f>$AC$32</f>
        <v>80000</v>
      </c>
      <c r="R164" s="47">
        <f t="shared" si="402"/>
        <v>51750</v>
      </c>
      <c r="S164" s="39">
        <f>$AC$32</f>
        <v>80000</v>
      </c>
      <c r="T164" s="47">
        <f t="shared" si="402"/>
        <v>51750</v>
      </c>
      <c r="U164" s="28">
        <f t="shared" ref="U164:U227" si="403">SUM(E164:L164,M164,O164,Q164,S164)</f>
        <v>792000</v>
      </c>
      <c r="V164" s="28">
        <f t="shared" ref="V164:V227" si="404">SUM(E164:L164,N164,P164,R164,T164)</f>
        <v>679000</v>
      </c>
      <c r="W164" s="28"/>
      <c r="X164" s="42">
        <v>50000</v>
      </c>
      <c r="Y164" s="41"/>
    </row>
    <row r="165" spans="1:25" x14ac:dyDescent="0.25">
      <c r="A165">
        <v>2</v>
      </c>
      <c r="B165" s="14" t="s">
        <v>65</v>
      </c>
      <c r="C165" s="8">
        <v>12</v>
      </c>
      <c r="D165" s="9" t="s">
        <v>17</v>
      </c>
      <c r="E165" s="27">
        <v>51750</v>
      </c>
      <c r="F165" s="27">
        <v>123750</v>
      </c>
      <c r="G165" s="27">
        <f>$AF$7+$AD$7*$AG$7+$AJ$7++$AK$7</f>
        <v>58750</v>
      </c>
      <c r="H165" s="27">
        <f t="shared" ref="H165:T165" si="405">$AF$7+$AD$7*$AG$7+$AJ$7++$AK$7</f>
        <v>58750</v>
      </c>
      <c r="I165" s="27">
        <f t="shared" si="405"/>
        <v>58750</v>
      </c>
      <c r="J165" s="27">
        <f t="shared" si="405"/>
        <v>58750</v>
      </c>
      <c r="K165" s="27">
        <f t="shared" si="405"/>
        <v>58750</v>
      </c>
      <c r="L165" s="27">
        <f t="shared" si="405"/>
        <v>58750</v>
      </c>
      <c r="M165" s="39">
        <f>$AE$34-$AB$34+$AE$34*$AC$34</f>
        <v>52000</v>
      </c>
      <c r="N165" s="47">
        <f t="shared" si="405"/>
        <v>58750</v>
      </c>
      <c r="O165" s="39">
        <f>$AE$34-$AB$34+$AE$34*$AC$34</f>
        <v>52000</v>
      </c>
      <c r="P165" s="47">
        <f t="shared" si="405"/>
        <v>58750</v>
      </c>
      <c r="Q165" s="39">
        <f>$AE$34-$AB$34+$AE$34*$AC$34</f>
        <v>52000</v>
      </c>
      <c r="R165" s="47">
        <f t="shared" si="405"/>
        <v>58750</v>
      </c>
      <c r="S165" s="39">
        <f>($AE$34-$AB$34+$AE$34*$AC$34)*1.1</f>
        <v>57200.000000000007</v>
      </c>
      <c r="T165" s="47">
        <f t="shared" si="405"/>
        <v>58750</v>
      </c>
      <c r="U165" s="28">
        <f t="shared" si="403"/>
        <v>741200</v>
      </c>
      <c r="V165" s="28">
        <f t="shared" si="404"/>
        <v>763000</v>
      </c>
      <c r="W165" s="28"/>
      <c r="X165" s="42">
        <v>50000</v>
      </c>
      <c r="Y165" s="41"/>
    </row>
    <row r="166" spans="1:25" x14ac:dyDescent="0.25">
      <c r="A166">
        <v>3</v>
      </c>
      <c r="B166" s="16" t="s">
        <v>146</v>
      </c>
      <c r="C166" s="8">
        <v>10</v>
      </c>
      <c r="D166" s="9" t="s">
        <v>18</v>
      </c>
      <c r="E166" s="27">
        <v>25750</v>
      </c>
      <c r="F166" s="27">
        <v>98750</v>
      </c>
      <c r="G166" s="27">
        <f>$AE$5+$AC$5*$AG$5+$AI$5</f>
        <v>31750</v>
      </c>
      <c r="H166" s="27">
        <f t="shared" ref="H166:T166" si="406">$AE$5+$AC$5*$AG$5+$AI$5</f>
        <v>31750</v>
      </c>
      <c r="I166" s="27">
        <f t="shared" si="406"/>
        <v>31750</v>
      </c>
      <c r="J166" s="27">
        <f t="shared" si="406"/>
        <v>31750</v>
      </c>
      <c r="K166" s="27">
        <f t="shared" si="406"/>
        <v>31750</v>
      </c>
      <c r="L166" s="27">
        <f t="shared" si="406"/>
        <v>31750</v>
      </c>
      <c r="M166" s="39">
        <f>$AC$32</f>
        <v>80000</v>
      </c>
      <c r="N166" s="47">
        <f t="shared" si="406"/>
        <v>31750</v>
      </c>
      <c r="O166" s="39">
        <f>$AC$32</f>
        <v>80000</v>
      </c>
      <c r="P166" s="47">
        <f t="shared" si="406"/>
        <v>31750</v>
      </c>
      <c r="Q166" s="39">
        <f>$AC$32</f>
        <v>80000</v>
      </c>
      <c r="R166" s="47">
        <f t="shared" si="406"/>
        <v>31750</v>
      </c>
      <c r="S166" s="39">
        <f>$AC$32</f>
        <v>80000</v>
      </c>
      <c r="T166" s="47">
        <f t="shared" si="406"/>
        <v>31750</v>
      </c>
      <c r="U166" s="28">
        <f t="shared" si="403"/>
        <v>635000</v>
      </c>
      <c r="V166" s="28">
        <f t="shared" si="404"/>
        <v>442000</v>
      </c>
      <c r="W166" s="28"/>
      <c r="X166" s="42">
        <v>50000</v>
      </c>
      <c r="Y166" s="41"/>
    </row>
    <row r="167" spans="1:25" x14ac:dyDescent="0.25">
      <c r="A167">
        <v>4</v>
      </c>
      <c r="B167" s="16" t="s">
        <v>146</v>
      </c>
      <c r="C167" s="8">
        <v>12</v>
      </c>
      <c r="D167" s="9" t="s">
        <v>42</v>
      </c>
      <c r="E167" s="27">
        <v>41750</v>
      </c>
      <c r="F167" s="27">
        <v>107750</v>
      </c>
      <c r="G167" s="27">
        <f t="shared" ref="G167:T167" si="407">$AF$5+$AD$5*$AG$5+$AJ$5</f>
        <v>51750</v>
      </c>
      <c r="H167" s="27">
        <f t="shared" si="407"/>
        <v>51750</v>
      </c>
      <c r="I167" s="27">
        <f t="shared" si="407"/>
        <v>51750</v>
      </c>
      <c r="J167" s="27">
        <f t="shared" si="407"/>
        <v>51750</v>
      </c>
      <c r="K167" s="27">
        <f t="shared" si="407"/>
        <v>51750</v>
      </c>
      <c r="L167" s="27">
        <f t="shared" si="407"/>
        <v>51750</v>
      </c>
      <c r="M167" s="39">
        <f>$AC$32</f>
        <v>80000</v>
      </c>
      <c r="N167" s="47">
        <f t="shared" si="407"/>
        <v>51750</v>
      </c>
      <c r="O167" s="39">
        <f>$AC$32</f>
        <v>80000</v>
      </c>
      <c r="P167" s="47">
        <f t="shared" si="407"/>
        <v>51750</v>
      </c>
      <c r="Q167" s="39">
        <f>$AC$32</f>
        <v>80000</v>
      </c>
      <c r="R167" s="47">
        <f t="shared" si="407"/>
        <v>51750</v>
      </c>
      <c r="S167" s="39">
        <f>$AC$32</f>
        <v>80000</v>
      </c>
      <c r="T167" s="47">
        <f t="shared" si="407"/>
        <v>51750</v>
      </c>
      <c r="U167" s="28">
        <f t="shared" si="403"/>
        <v>780000</v>
      </c>
      <c r="V167" s="28">
        <f t="shared" si="404"/>
        <v>667000</v>
      </c>
      <c r="W167" s="28"/>
      <c r="X167" s="42">
        <v>50000</v>
      </c>
      <c r="Y167" s="41"/>
    </row>
    <row r="168" spans="1:25" x14ac:dyDescent="0.25">
      <c r="A168">
        <v>5</v>
      </c>
      <c r="B168" s="14" t="s">
        <v>63</v>
      </c>
      <c r="C168" s="8">
        <v>10</v>
      </c>
      <c r="D168" s="10" t="s">
        <v>43</v>
      </c>
      <c r="E168" s="27">
        <v>32750</v>
      </c>
      <c r="F168" s="27">
        <v>105750</v>
      </c>
      <c r="G168" s="27">
        <f>$AE$8+$AC$8*$AG$8+$AI$8+$AK$8</f>
        <v>38750</v>
      </c>
      <c r="H168" s="27">
        <f t="shared" ref="H168:T168" si="408">$AE$8+$AC$8*$AG$8+$AI$8+$AK$8</f>
        <v>38750</v>
      </c>
      <c r="I168" s="27">
        <f t="shared" si="408"/>
        <v>38750</v>
      </c>
      <c r="J168" s="27">
        <f t="shared" si="408"/>
        <v>38750</v>
      </c>
      <c r="K168" s="27">
        <f t="shared" si="408"/>
        <v>38750</v>
      </c>
      <c r="L168" s="27">
        <f t="shared" si="408"/>
        <v>38750</v>
      </c>
      <c r="M168" s="39">
        <f>$AD$35-$AB$35+$AD$35*$AC$35</f>
        <v>30000</v>
      </c>
      <c r="N168" s="47">
        <f t="shared" si="408"/>
        <v>38750</v>
      </c>
      <c r="O168" s="39">
        <f>$AD$35-$AB$35+$AD$35*$AC$35</f>
        <v>30000</v>
      </c>
      <c r="P168" s="47">
        <f t="shared" si="408"/>
        <v>38750</v>
      </c>
      <c r="Q168" s="39">
        <f>$AD$35-$AB$35+$AD$35*$AC$35</f>
        <v>30000</v>
      </c>
      <c r="R168" s="47">
        <f t="shared" si="408"/>
        <v>38750</v>
      </c>
      <c r="S168" s="39">
        <f>($AD$35-$AB$35+$AD$35*$AC$35)*1.1</f>
        <v>33000</v>
      </c>
      <c r="T168" s="47">
        <f t="shared" si="408"/>
        <v>38750</v>
      </c>
      <c r="U168" s="28">
        <f t="shared" si="403"/>
        <v>494000</v>
      </c>
      <c r="V168" s="28">
        <f t="shared" si="404"/>
        <v>526000</v>
      </c>
      <c r="W168" s="28"/>
      <c r="X168" s="42">
        <v>50000</v>
      </c>
      <c r="Y168" s="41"/>
    </row>
    <row r="169" spans="1:25" x14ac:dyDescent="0.25">
      <c r="A169">
        <v>6</v>
      </c>
      <c r="B169" s="16" t="s">
        <v>146</v>
      </c>
      <c r="C169" s="8">
        <v>10</v>
      </c>
      <c r="D169" s="9" t="s">
        <v>19</v>
      </c>
      <c r="E169" s="27">
        <v>25750</v>
      </c>
      <c r="F169" s="27">
        <v>98750</v>
      </c>
      <c r="G169" s="27">
        <f t="shared" ref="G169:T169" si="409">$AE$5+$AC$5*$AG$5+$AI$5</f>
        <v>31750</v>
      </c>
      <c r="H169" s="27">
        <f t="shared" si="409"/>
        <v>31750</v>
      </c>
      <c r="I169" s="27">
        <f t="shared" si="409"/>
        <v>31750</v>
      </c>
      <c r="J169" s="27">
        <f t="shared" si="409"/>
        <v>31750</v>
      </c>
      <c r="K169" s="27">
        <f t="shared" si="409"/>
        <v>31750</v>
      </c>
      <c r="L169" s="27">
        <f t="shared" si="409"/>
        <v>31750</v>
      </c>
      <c r="M169" s="39">
        <f>$AC$32</f>
        <v>80000</v>
      </c>
      <c r="N169" s="47">
        <f t="shared" si="409"/>
        <v>31750</v>
      </c>
      <c r="O169" s="39">
        <f>$AC$32</f>
        <v>80000</v>
      </c>
      <c r="P169" s="47">
        <f t="shared" si="409"/>
        <v>31750</v>
      </c>
      <c r="Q169" s="39">
        <f>$AC$32</f>
        <v>80000</v>
      </c>
      <c r="R169" s="47">
        <f t="shared" si="409"/>
        <v>31750</v>
      </c>
      <c r="S169" s="39">
        <f>$AC$32</f>
        <v>80000</v>
      </c>
      <c r="T169" s="47">
        <f t="shared" si="409"/>
        <v>31750</v>
      </c>
      <c r="U169" s="28">
        <f t="shared" si="403"/>
        <v>635000</v>
      </c>
      <c r="V169" s="28">
        <f t="shared" si="404"/>
        <v>442000</v>
      </c>
      <c r="W169" s="28"/>
      <c r="X169" s="42">
        <v>50000</v>
      </c>
      <c r="Y169" s="41"/>
    </row>
    <row r="170" spans="1:25" x14ac:dyDescent="0.25">
      <c r="A170">
        <v>7</v>
      </c>
      <c r="B170" s="15" t="s">
        <v>67</v>
      </c>
      <c r="C170" s="8">
        <v>8</v>
      </c>
      <c r="D170" s="10" t="s">
        <v>44</v>
      </c>
      <c r="E170" s="27">
        <v>7750</v>
      </c>
      <c r="F170" s="27">
        <v>79750</v>
      </c>
      <c r="G170" s="27">
        <f>$AB$13*$AG$13+$AH$13</f>
        <v>11750</v>
      </c>
      <c r="H170" s="27">
        <f t="shared" ref="H170:T170" si="410">$AB$13*$AG$13+$AH$13</f>
        <v>11750</v>
      </c>
      <c r="I170" s="27">
        <f t="shared" si="410"/>
        <v>11750</v>
      </c>
      <c r="J170" s="27">
        <f t="shared" si="410"/>
        <v>11750</v>
      </c>
      <c r="K170" s="27">
        <f t="shared" si="410"/>
        <v>11750</v>
      </c>
      <c r="L170" s="27">
        <f t="shared" si="410"/>
        <v>11750</v>
      </c>
      <c r="M170" s="39">
        <f>$AB$40*$AC$40</f>
        <v>7500</v>
      </c>
      <c r="N170" s="47">
        <f t="shared" si="410"/>
        <v>11750</v>
      </c>
      <c r="O170" s="39">
        <f>$AB$40*$AC$40</f>
        <v>7500</v>
      </c>
      <c r="P170" s="47">
        <f t="shared" si="410"/>
        <v>11750</v>
      </c>
      <c r="Q170" s="39">
        <f>$AB$40*$AC$40</f>
        <v>7500</v>
      </c>
      <c r="R170" s="47">
        <f t="shared" si="410"/>
        <v>11750</v>
      </c>
      <c r="S170" s="39">
        <f>$AB$40*$AC$40*1.1</f>
        <v>8250</v>
      </c>
      <c r="T170" s="47">
        <f t="shared" si="410"/>
        <v>11750</v>
      </c>
      <c r="U170" s="28">
        <f t="shared" si="403"/>
        <v>188750</v>
      </c>
      <c r="V170" s="28">
        <f t="shared" si="404"/>
        <v>205000</v>
      </c>
      <c r="W170" s="28"/>
      <c r="X170" s="42">
        <v>50000</v>
      </c>
      <c r="Y170" s="41"/>
    </row>
    <row r="171" spans="1:25" x14ac:dyDescent="0.25">
      <c r="A171">
        <v>8</v>
      </c>
      <c r="B171" s="14" t="s">
        <v>64</v>
      </c>
      <c r="C171" s="8">
        <v>12</v>
      </c>
      <c r="D171" s="11" t="s">
        <v>20</v>
      </c>
      <c r="E171" s="27">
        <v>69750</v>
      </c>
      <c r="F171" s="27">
        <v>137750</v>
      </c>
      <c r="G171" s="27">
        <f t="shared" ref="G171:K171" si="411">$AB$9/21/8*21*14*$AG$9+$AJ$9+$AK$9+51188</f>
        <v>77519.25</v>
      </c>
      <c r="H171" s="27">
        <f t="shared" si="411"/>
        <v>77519.25</v>
      </c>
      <c r="I171" s="27">
        <f t="shared" si="411"/>
        <v>77519.25</v>
      </c>
      <c r="J171" s="27">
        <f t="shared" si="411"/>
        <v>77519.25</v>
      </c>
      <c r="K171" s="27">
        <f t="shared" si="411"/>
        <v>77519.25</v>
      </c>
      <c r="L171" s="27">
        <f>$AB$9/21/8*21*14*$AG$9+$AJ$9+$AK$9+51188</f>
        <v>77519.25</v>
      </c>
      <c r="M171" s="39">
        <f>$AF$36-$AB$36+$AF$36*$AC$36</f>
        <v>74000</v>
      </c>
      <c r="N171" s="47">
        <f>$AB$9/21/8*21*14*$AG$9+$AJ$9+$AK$9+51188</f>
        <v>77519.25</v>
      </c>
      <c r="O171" s="39">
        <f>$AF$36-$AB$36+$AF$36*$AC$36</f>
        <v>74000</v>
      </c>
      <c r="P171" s="47">
        <f>$AB$9/21/8*21*14*$AG$9+$AJ$9+$AK$9+51188</f>
        <v>77519.25</v>
      </c>
      <c r="Q171" s="39">
        <f>$AF$36-$AB$36+$AF$36*$AC$36</f>
        <v>74000</v>
      </c>
      <c r="R171" s="47">
        <f>$AB$9/21/8*21*14*$AG$9+$AJ$9+$AK$9+51188</f>
        <v>77519.25</v>
      </c>
      <c r="S171" s="39">
        <f>($AF$36-$AB$36+$AF$36*$AC$36)*1.1</f>
        <v>81400</v>
      </c>
      <c r="T171" s="47">
        <f>$AB$9/21/8*21*14*$AG$9+$AJ$9+$AK$9+51188</f>
        <v>77519.25</v>
      </c>
      <c r="U171" s="28">
        <f t="shared" si="403"/>
        <v>976015.5</v>
      </c>
      <c r="V171" s="28">
        <f t="shared" si="404"/>
        <v>982692.5</v>
      </c>
      <c r="W171" s="28"/>
      <c r="X171" s="42">
        <v>50000</v>
      </c>
      <c r="Y171" s="41"/>
    </row>
    <row r="172" spans="1:25" x14ac:dyDescent="0.25">
      <c r="A172">
        <v>9</v>
      </c>
      <c r="B172" s="16" t="s">
        <v>146</v>
      </c>
      <c r="C172" s="8">
        <v>12</v>
      </c>
      <c r="D172" s="11" t="s">
        <v>45</v>
      </c>
      <c r="E172" s="27">
        <v>35750</v>
      </c>
      <c r="F172" s="27">
        <v>107750</v>
      </c>
      <c r="G172" s="27">
        <f t="shared" ref="G172:T172" si="412">$AF$5+$AD$5*$AG$5+$AJ$5</f>
        <v>51750</v>
      </c>
      <c r="H172" s="27">
        <f t="shared" si="412"/>
        <v>51750</v>
      </c>
      <c r="I172" s="27">
        <f t="shared" si="412"/>
        <v>51750</v>
      </c>
      <c r="J172" s="27">
        <f t="shared" si="412"/>
        <v>51750</v>
      </c>
      <c r="K172" s="27">
        <f t="shared" si="412"/>
        <v>51750</v>
      </c>
      <c r="L172" s="27">
        <f t="shared" si="412"/>
        <v>51750</v>
      </c>
      <c r="M172" s="39">
        <f>$AC$32</f>
        <v>80000</v>
      </c>
      <c r="N172" s="47">
        <f t="shared" si="412"/>
        <v>51750</v>
      </c>
      <c r="O172" s="39">
        <f>$AC$32</f>
        <v>80000</v>
      </c>
      <c r="P172" s="47">
        <f t="shared" si="412"/>
        <v>51750</v>
      </c>
      <c r="Q172" s="39">
        <f>$AC$32</f>
        <v>80000</v>
      </c>
      <c r="R172" s="47">
        <f t="shared" si="412"/>
        <v>51750</v>
      </c>
      <c r="S172" s="39">
        <f>$AC$32</f>
        <v>80000</v>
      </c>
      <c r="T172" s="47">
        <f t="shared" si="412"/>
        <v>51750</v>
      </c>
      <c r="U172" s="28">
        <f t="shared" si="403"/>
        <v>774000</v>
      </c>
      <c r="V172" s="28">
        <f t="shared" si="404"/>
        <v>661000</v>
      </c>
      <c r="W172" s="28"/>
      <c r="X172" s="42">
        <v>50000</v>
      </c>
      <c r="Y172" s="41"/>
    </row>
    <row r="173" spans="1:25" x14ac:dyDescent="0.25">
      <c r="A173">
        <v>10</v>
      </c>
      <c r="B173" s="15" t="s">
        <v>60</v>
      </c>
      <c r="C173" s="8">
        <v>10</v>
      </c>
      <c r="D173" s="9" t="s">
        <v>21</v>
      </c>
      <c r="E173" s="27">
        <v>25750</v>
      </c>
      <c r="F173" s="27">
        <v>98750</v>
      </c>
      <c r="G173" s="27">
        <f>$AE$16+$AC$16*$AG$16+$AI$16</f>
        <v>31750</v>
      </c>
      <c r="H173" s="27">
        <f t="shared" ref="H173:T173" si="413">$AE$16+$AC$16*$AG$16+$AI$16</f>
        <v>31750</v>
      </c>
      <c r="I173" s="27">
        <f t="shared" si="413"/>
        <v>31750</v>
      </c>
      <c r="J173" s="27">
        <f t="shared" si="413"/>
        <v>31750</v>
      </c>
      <c r="K173" s="27">
        <f t="shared" si="413"/>
        <v>31750</v>
      </c>
      <c r="L173" s="27">
        <f t="shared" si="413"/>
        <v>31750</v>
      </c>
      <c r="M173" s="39">
        <f>$AD$43-$AB$43+$AD$43*$AC$43</f>
        <v>28125</v>
      </c>
      <c r="N173" s="47">
        <f t="shared" si="413"/>
        <v>31750</v>
      </c>
      <c r="O173" s="39">
        <f>$AD$43-$AB$43+$AD$43*$AC$43</f>
        <v>28125</v>
      </c>
      <c r="P173" s="47">
        <f t="shared" si="413"/>
        <v>31750</v>
      </c>
      <c r="Q173" s="39">
        <f>$AD$43-$AB$43+$AD$43*$AC$43</f>
        <v>28125</v>
      </c>
      <c r="R173" s="47">
        <f t="shared" si="413"/>
        <v>31750</v>
      </c>
      <c r="S173" s="39">
        <f>($AD$43-$AB$43+$AD$43*$AC$43)*1.1</f>
        <v>30937.500000000004</v>
      </c>
      <c r="T173" s="47">
        <f t="shared" si="413"/>
        <v>31750</v>
      </c>
      <c r="U173" s="28">
        <f t="shared" si="403"/>
        <v>430312.5</v>
      </c>
      <c r="V173" s="28">
        <f t="shared" si="404"/>
        <v>442000</v>
      </c>
      <c r="W173" s="28"/>
      <c r="X173" s="42">
        <v>50000</v>
      </c>
      <c r="Y173" s="41"/>
    </row>
    <row r="174" spans="1:25" x14ac:dyDescent="0.25">
      <c r="A174">
        <v>11</v>
      </c>
      <c r="B174" s="25" t="s">
        <v>155</v>
      </c>
      <c r="C174" s="8">
        <v>8</v>
      </c>
      <c r="D174" s="9" t="s">
        <v>142</v>
      </c>
      <c r="E174" s="27"/>
      <c r="F174" s="27">
        <v>160000</v>
      </c>
      <c r="G174" s="27">
        <v>30000</v>
      </c>
      <c r="H174" s="27">
        <v>30000</v>
      </c>
      <c r="I174" s="27">
        <v>30000</v>
      </c>
      <c r="J174" s="27">
        <v>30000</v>
      </c>
      <c r="K174" s="27">
        <v>30000</v>
      </c>
      <c r="L174" s="27">
        <v>30000</v>
      </c>
      <c r="M174" s="39">
        <f>$AC$49</f>
        <v>30000</v>
      </c>
      <c r="N174" s="47">
        <v>30000</v>
      </c>
      <c r="O174" s="39">
        <f>$AC$49</f>
        <v>30000</v>
      </c>
      <c r="P174" s="47">
        <v>30000</v>
      </c>
      <c r="Q174" s="39">
        <f>$AC$49</f>
        <v>30000</v>
      </c>
      <c r="R174" s="47">
        <v>30000</v>
      </c>
      <c r="S174" s="39">
        <f>$AC$49</f>
        <v>30000</v>
      </c>
      <c r="T174" s="47">
        <v>30000</v>
      </c>
      <c r="U174" s="28">
        <f t="shared" si="403"/>
        <v>460000</v>
      </c>
      <c r="V174" s="28">
        <f t="shared" si="404"/>
        <v>460000</v>
      </c>
      <c r="W174" s="28"/>
      <c r="X174" s="42">
        <v>100000</v>
      </c>
      <c r="Y174" s="41"/>
    </row>
    <row r="175" spans="1:25" x14ac:dyDescent="0.25">
      <c r="A175">
        <v>12</v>
      </c>
      <c r="B175" s="15" t="s">
        <v>67</v>
      </c>
      <c r="C175" s="8">
        <v>10</v>
      </c>
      <c r="D175" s="9" t="s">
        <v>46</v>
      </c>
      <c r="E175" s="27">
        <v>25750</v>
      </c>
      <c r="F175" s="27">
        <v>98750</v>
      </c>
      <c r="G175" s="27">
        <f>$AE$13+$AC$13*$AG$13+$AI$13</f>
        <v>31750</v>
      </c>
      <c r="H175" s="27">
        <f t="shared" ref="H175:T175" si="414">$AE$13+$AC$13*$AG$13+$AI$13</f>
        <v>31750</v>
      </c>
      <c r="I175" s="27">
        <f t="shared" si="414"/>
        <v>31750</v>
      </c>
      <c r="J175" s="27">
        <f t="shared" si="414"/>
        <v>31750</v>
      </c>
      <c r="K175" s="27">
        <f t="shared" si="414"/>
        <v>31750</v>
      </c>
      <c r="L175" s="27">
        <f t="shared" si="414"/>
        <v>31750</v>
      </c>
      <c r="M175" s="39">
        <f>$AD$40-$AB$40+$AD$40*$AC$40</f>
        <v>28125</v>
      </c>
      <c r="N175" s="47">
        <f t="shared" si="414"/>
        <v>31750</v>
      </c>
      <c r="O175" s="39">
        <f>$AD$40-$AB$40+$AD$40*$AC$40</f>
        <v>28125</v>
      </c>
      <c r="P175" s="47">
        <f t="shared" si="414"/>
        <v>31750</v>
      </c>
      <c r="Q175" s="39">
        <f>$AD$40-$AB$40+$AD$40*$AC$40</f>
        <v>28125</v>
      </c>
      <c r="R175" s="47">
        <f t="shared" si="414"/>
        <v>31750</v>
      </c>
      <c r="S175" s="39">
        <f>($AD$40-$AB$40+$AD$40*$AC$40)*1.1</f>
        <v>30937.500000000004</v>
      </c>
      <c r="T175" s="47">
        <f t="shared" si="414"/>
        <v>31750</v>
      </c>
      <c r="U175" s="28">
        <f t="shared" si="403"/>
        <v>430312.5</v>
      </c>
      <c r="V175" s="28">
        <f t="shared" si="404"/>
        <v>442000</v>
      </c>
      <c r="W175" s="28"/>
      <c r="X175" s="42">
        <v>50000</v>
      </c>
      <c r="Y175" s="41"/>
    </row>
    <row r="176" spans="1:25" x14ac:dyDescent="0.25">
      <c r="A176">
        <v>13</v>
      </c>
      <c r="B176" s="16" t="s">
        <v>146</v>
      </c>
      <c r="C176" s="8">
        <v>10</v>
      </c>
      <c r="D176" s="11" t="s">
        <v>47</v>
      </c>
      <c r="E176" s="27">
        <v>44750</v>
      </c>
      <c r="F176" s="27">
        <v>116750</v>
      </c>
      <c r="G176" s="27">
        <f t="shared" ref="G176:T176" si="415">$AE$5+$AC$5*$AG$5+$AI$5</f>
        <v>31750</v>
      </c>
      <c r="H176" s="27">
        <f t="shared" si="415"/>
        <v>31750</v>
      </c>
      <c r="I176" s="27">
        <f t="shared" si="415"/>
        <v>31750</v>
      </c>
      <c r="J176" s="27">
        <f t="shared" si="415"/>
        <v>31750</v>
      </c>
      <c r="K176" s="27">
        <f t="shared" si="415"/>
        <v>31750</v>
      </c>
      <c r="L176" s="27">
        <f t="shared" si="415"/>
        <v>31750</v>
      </c>
      <c r="M176" s="39">
        <f>$AC$32</f>
        <v>80000</v>
      </c>
      <c r="N176" s="47">
        <f t="shared" si="415"/>
        <v>31750</v>
      </c>
      <c r="O176" s="39">
        <f>$AC$32</f>
        <v>80000</v>
      </c>
      <c r="P176" s="47">
        <f t="shared" si="415"/>
        <v>31750</v>
      </c>
      <c r="Q176" s="39">
        <f>$AC$32</f>
        <v>80000</v>
      </c>
      <c r="R176" s="47">
        <f t="shared" si="415"/>
        <v>31750</v>
      </c>
      <c r="S176" s="39">
        <f>$AC$32</f>
        <v>80000</v>
      </c>
      <c r="T176" s="47">
        <f t="shared" si="415"/>
        <v>31750</v>
      </c>
      <c r="U176" s="28">
        <f t="shared" si="403"/>
        <v>672000</v>
      </c>
      <c r="V176" s="28">
        <f t="shared" si="404"/>
        <v>479000</v>
      </c>
      <c r="W176" s="28"/>
      <c r="X176" s="42">
        <v>50000</v>
      </c>
      <c r="Y176" s="41"/>
    </row>
    <row r="177" spans="1:25" x14ac:dyDescent="0.25">
      <c r="A177">
        <v>14</v>
      </c>
      <c r="B177" s="14" t="s">
        <v>65</v>
      </c>
      <c r="C177" s="8">
        <v>12</v>
      </c>
      <c r="D177" s="11" t="s">
        <v>48</v>
      </c>
      <c r="E177" s="27">
        <v>51750</v>
      </c>
      <c r="F177" s="27">
        <v>123750</v>
      </c>
      <c r="G177" s="27">
        <f>$AF$7+$AD$7*$AG$7+$AJ$7+$AK$7</f>
        <v>58750</v>
      </c>
      <c r="H177" s="27">
        <f t="shared" ref="H177:T177" si="416">$AF$7+$AD$7*$AG$7+$AJ$7++$AK$7</f>
        <v>58750</v>
      </c>
      <c r="I177" s="27">
        <f t="shared" si="416"/>
        <v>58750</v>
      </c>
      <c r="J177" s="27">
        <f t="shared" si="416"/>
        <v>58750</v>
      </c>
      <c r="K177" s="27">
        <f t="shared" si="416"/>
        <v>58750</v>
      </c>
      <c r="L177" s="27">
        <f t="shared" si="416"/>
        <v>58750</v>
      </c>
      <c r="M177" s="39">
        <f>$AE$34-$AB$34+$AE$34*$AC$34</f>
        <v>52000</v>
      </c>
      <c r="N177" s="47">
        <f t="shared" si="416"/>
        <v>58750</v>
      </c>
      <c r="O177" s="39">
        <f>$AE$34-$AB$34+$AE$34*$AC$34</f>
        <v>52000</v>
      </c>
      <c r="P177" s="47">
        <f t="shared" si="416"/>
        <v>58750</v>
      </c>
      <c r="Q177" s="39">
        <f>$AE$34-$AB$34+$AE$34*$AC$34</f>
        <v>52000</v>
      </c>
      <c r="R177" s="47">
        <f t="shared" si="416"/>
        <v>58750</v>
      </c>
      <c r="S177" s="39">
        <f>($AE$34-$AB$34+$AE$34*$AC$34)*1.1</f>
        <v>57200.000000000007</v>
      </c>
      <c r="T177" s="47">
        <f t="shared" si="416"/>
        <v>58750</v>
      </c>
      <c r="U177" s="28">
        <f t="shared" si="403"/>
        <v>741200</v>
      </c>
      <c r="V177" s="28">
        <f t="shared" si="404"/>
        <v>763000</v>
      </c>
      <c r="W177" s="28"/>
      <c r="X177" s="42">
        <v>50000</v>
      </c>
      <c r="Y177" s="41"/>
    </row>
    <row r="178" spans="1:25" x14ac:dyDescent="0.25">
      <c r="A178">
        <v>15</v>
      </c>
      <c r="B178" s="15" t="s">
        <v>60</v>
      </c>
      <c r="C178" s="30">
        <v>10</v>
      </c>
      <c r="D178" s="12" t="s">
        <v>22</v>
      </c>
      <c r="E178" s="27">
        <v>25750</v>
      </c>
      <c r="F178" s="27">
        <v>98750</v>
      </c>
      <c r="G178" s="27">
        <f>$AE$16+$AC$16*$AG$16+$AI$16</f>
        <v>31750</v>
      </c>
      <c r="H178" s="27">
        <f t="shared" ref="H178:T178" si="417">$AE$16+$AC$16*$AG$16+$AI$16</f>
        <v>31750</v>
      </c>
      <c r="I178" s="27">
        <f t="shared" si="417"/>
        <v>31750</v>
      </c>
      <c r="J178" s="27">
        <f t="shared" si="417"/>
        <v>31750</v>
      </c>
      <c r="K178" s="27">
        <f t="shared" si="417"/>
        <v>31750</v>
      </c>
      <c r="L178" s="27">
        <f t="shared" si="417"/>
        <v>31750</v>
      </c>
      <c r="M178" s="39">
        <f>$AD$43-$AB$43+$AD$43*$AC$43</f>
        <v>28125</v>
      </c>
      <c r="N178" s="47">
        <f t="shared" si="417"/>
        <v>31750</v>
      </c>
      <c r="O178" s="39">
        <f>$AD$43-$AB$43+$AD$43*$AC$43</f>
        <v>28125</v>
      </c>
      <c r="P178" s="47">
        <f t="shared" si="417"/>
        <v>31750</v>
      </c>
      <c r="Q178" s="39">
        <f>$AD$43-$AB$43+$AD$43*$AC$43</f>
        <v>28125</v>
      </c>
      <c r="R178" s="47">
        <f t="shared" si="417"/>
        <v>31750</v>
      </c>
      <c r="S178" s="39">
        <f>($AD$43-$AB$43+$AD$43*$AC$43)*1.1</f>
        <v>30937.500000000004</v>
      </c>
      <c r="T178" s="47">
        <f t="shared" si="417"/>
        <v>31750</v>
      </c>
      <c r="U178" s="28">
        <f t="shared" si="403"/>
        <v>430312.5</v>
      </c>
      <c r="V178" s="28">
        <f t="shared" si="404"/>
        <v>442000</v>
      </c>
      <c r="W178" s="28"/>
      <c r="X178" s="42">
        <v>50000</v>
      </c>
      <c r="Y178" s="41"/>
    </row>
    <row r="179" spans="1:25" x14ac:dyDescent="0.25">
      <c r="A179">
        <v>16</v>
      </c>
      <c r="B179" s="16" t="s">
        <v>146</v>
      </c>
      <c r="C179" s="30">
        <v>10</v>
      </c>
      <c r="D179" s="12" t="s">
        <v>49</v>
      </c>
      <c r="E179" s="27">
        <v>25750</v>
      </c>
      <c r="F179" s="27">
        <v>98750</v>
      </c>
      <c r="G179" s="27">
        <f t="shared" ref="G179:T181" si="418">$AE$5+$AC$5*$AG$5+$AI$5</f>
        <v>31750</v>
      </c>
      <c r="H179" s="27">
        <f t="shared" si="418"/>
        <v>31750</v>
      </c>
      <c r="I179" s="27">
        <f t="shared" si="418"/>
        <v>31750</v>
      </c>
      <c r="J179" s="27">
        <f t="shared" si="418"/>
        <v>31750</v>
      </c>
      <c r="K179" s="27">
        <f t="shared" si="418"/>
        <v>31750</v>
      </c>
      <c r="L179" s="27">
        <f t="shared" si="418"/>
        <v>31750</v>
      </c>
      <c r="M179" s="39">
        <f>$AC$32</f>
        <v>80000</v>
      </c>
      <c r="N179" s="47">
        <f t="shared" si="418"/>
        <v>31750</v>
      </c>
      <c r="O179" s="39">
        <f>$AC$32</f>
        <v>80000</v>
      </c>
      <c r="P179" s="47">
        <f t="shared" si="418"/>
        <v>31750</v>
      </c>
      <c r="Q179" s="39">
        <f>$AC$32</f>
        <v>80000</v>
      </c>
      <c r="R179" s="47">
        <f t="shared" si="418"/>
        <v>31750</v>
      </c>
      <c r="S179" s="39">
        <f>$AC$32</f>
        <v>80000</v>
      </c>
      <c r="T179" s="47">
        <f t="shared" si="418"/>
        <v>31750</v>
      </c>
      <c r="U179" s="28">
        <f t="shared" si="403"/>
        <v>635000</v>
      </c>
      <c r="V179" s="28">
        <f t="shared" si="404"/>
        <v>442000</v>
      </c>
      <c r="W179" s="28"/>
      <c r="X179" s="42">
        <v>50000</v>
      </c>
      <c r="Y179" s="41"/>
    </row>
    <row r="180" spans="1:25" x14ac:dyDescent="0.25">
      <c r="A180">
        <v>17</v>
      </c>
      <c r="B180" s="16" t="s">
        <v>146</v>
      </c>
      <c r="C180" s="8">
        <v>10</v>
      </c>
      <c r="D180" s="9" t="s">
        <v>23</v>
      </c>
      <c r="E180" s="27">
        <v>25750</v>
      </c>
      <c r="F180" s="27">
        <v>98750</v>
      </c>
      <c r="G180" s="27">
        <f t="shared" si="418"/>
        <v>31750</v>
      </c>
      <c r="H180" s="27">
        <f t="shared" si="418"/>
        <v>31750</v>
      </c>
      <c r="I180" s="27">
        <f t="shared" si="418"/>
        <v>31750</v>
      </c>
      <c r="J180" s="27">
        <f t="shared" si="418"/>
        <v>31750</v>
      </c>
      <c r="K180" s="27">
        <f t="shared" si="418"/>
        <v>31750</v>
      </c>
      <c r="L180" s="27">
        <f t="shared" si="418"/>
        <v>31750</v>
      </c>
      <c r="M180" s="39">
        <f>$AC$32</f>
        <v>80000</v>
      </c>
      <c r="N180" s="47">
        <f t="shared" si="418"/>
        <v>31750</v>
      </c>
      <c r="O180" s="39">
        <f>$AC$32</f>
        <v>80000</v>
      </c>
      <c r="P180" s="47">
        <f t="shared" si="418"/>
        <v>31750</v>
      </c>
      <c r="Q180" s="39">
        <f>$AC$32</f>
        <v>80000</v>
      </c>
      <c r="R180" s="47">
        <f t="shared" si="418"/>
        <v>31750</v>
      </c>
      <c r="S180" s="39">
        <f>$AC$32</f>
        <v>80000</v>
      </c>
      <c r="T180" s="47">
        <f t="shared" si="418"/>
        <v>31750</v>
      </c>
      <c r="U180" s="28">
        <f t="shared" si="403"/>
        <v>635000</v>
      </c>
      <c r="V180" s="28">
        <f t="shared" si="404"/>
        <v>442000</v>
      </c>
      <c r="W180" s="28"/>
      <c r="X180" s="42">
        <v>50000</v>
      </c>
      <c r="Y180" s="41"/>
    </row>
    <row r="181" spans="1:25" x14ac:dyDescent="0.25">
      <c r="A181">
        <v>18</v>
      </c>
      <c r="B181" s="16" t="s">
        <v>146</v>
      </c>
      <c r="C181" s="8">
        <v>10</v>
      </c>
      <c r="D181" s="9" t="s">
        <v>24</v>
      </c>
      <c r="E181" s="27">
        <v>25750</v>
      </c>
      <c r="F181" s="27">
        <v>98750</v>
      </c>
      <c r="G181" s="27">
        <f t="shared" si="418"/>
        <v>31750</v>
      </c>
      <c r="H181" s="27">
        <f t="shared" si="418"/>
        <v>31750</v>
      </c>
      <c r="I181" s="27">
        <f t="shared" si="418"/>
        <v>31750</v>
      </c>
      <c r="J181" s="27">
        <f t="shared" si="418"/>
        <v>31750</v>
      </c>
      <c r="K181" s="27">
        <f t="shared" si="418"/>
        <v>31750</v>
      </c>
      <c r="L181" s="27">
        <f t="shared" si="418"/>
        <v>31750</v>
      </c>
      <c r="M181" s="39">
        <f>$AC$32</f>
        <v>80000</v>
      </c>
      <c r="N181" s="47">
        <f t="shared" si="418"/>
        <v>31750</v>
      </c>
      <c r="O181" s="39">
        <f>$AC$32</f>
        <v>80000</v>
      </c>
      <c r="P181" s="47">
        <f t="shared" si="418"/>
        <v>31750</v>
      </c>
      <c r="Q181" s="39">
        <f>$AC$32</f>
        <v>80000</v>
      </c>
      <c r="R181" s="47">
        <f t="shared" si="418"/>
        <v>31750</v>
      </c>
      <c r="S181" s="39">
        <f>$AC$32</f>
        <v>80000</v>
      </c>
      <c r="T181" s="47">
        <f t="shared" si="418"/>
        <v>31750</v>
      </c>
      <c r="U181" s="28">
        <f t="shared" si="403"/>
        <v>635000</v>
      </c>
      <c r="V181" s="28">
        <f t="shared" si="404"/>
        <v>442000</v>
      </c>
      <c r="W181" s="28"/>
      <c r="X181" s="42">
        <v>50000</v>
      </c>
      <c r="Y181" s="41"/>
    </row>
    <row r="182" spans="1:25" x14ac:dyDescent="0.25">
      <c r="A182">
        <v>19</v>
      </c>
      <c r="B182" s="15" t="s">
        <v>60</v>
      </c>
      <c r="C182" s="8">
        <v>8</v>
      </c>
      <c r="D182" s="11" t="s">
        <v>50</v>
      </c>
      <c r="E182" s="27">
        <v>7750</v>
      </c>
      <c r="F182" s="27">
        <v>79750</v>
      </c>
      <c r="G182" s="27">
        <f>$AB$16*$AG$16+$AH$16</f>
        <v>11750</v>
      </c>
      <c r="H182" s="27">
        <f t="shared" ref="H182:T182" si="419">$AB$16*$AG$16+$AH$16</f>
        <v>11750</v>
      </c>
      <c r="I182" s="27">
        <f t="shared" si="419"/>
        <v>11750</v>
      </c>
      <c r="J182" s="27">
        <f t="shared" si="419"/>
        <v>11750</v>
      </c>
      <c r="K182" s="27">
        <f t="shared" si="419"/>
        <v>11750</v>
      </c>
      <c r="L182" s="27">
        <f t="shared" si="419"/>
        <v>11750</v>
      </c>
      <c r="M182" s="39">
        <f>$AB$43*$AC$43</f>
        <v>7500</v>
      </c>
      <c r="N182" s="47">
        <f t="shared" si="419"/>
        <v>11750</v>
      </c>
      <c r="O182" s="39">
        <f>$AB$43*$AC$43</f>
        <v>7500</v>
      </c>
      <c r="P182" s="47">
        <f t="shared" si="419"/>
        <v>11750</v>
      </c>
      <c r="Q182" s="39">
        <f>$AB$43*$AC$43</f>
        <v>7500</v>
      </c>
      <c r="R182" s="47">
        <f t="shared" si="419"/>
        <v>11750</v>
      </c>
      <c r="S182" s="39">
        <f>$AB$43*$AC$43*1.1</f>
        <v>8250</v>
      </c>
      <c r="T182" s="47">
        <f t="shared" si="419"/>
        <v>11750</v>
      </c>
      <c r="U182" s="28">
        <f t="shared" si="403"/>
        <v>188750</v>
      </c>
      <c r="V182" s="28">
        <f t="shared" si="404"/>
        <v>205000</v>
      </c>
      <c r="W182" s="28"/>
      <c r="X182" s="42">
        <v>50000</v>
      </c>
      <c r="Y182" s="41"/>
    </row>
    <row r="183" spans="1:25" x14ac:dyDescent="0.25">
      <c r="A183">
        <v>20</v>
      </c>
      <c r="B183" s="8" t="s">
        <v>138</v>
      </c>
      <c r="C183" s="8">
        <v>8</v>
      </c>
      <c r="D183" s="9" t="s">
        <v>25</v>
      </c>
      <c r="E183" s="27">
        <v>19500</v>
      </c>
      <c r="F183" s="27">
        <v>79500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39">
        <v>0</v>
      </c>
      <c r="N183" s="47">
        <v>0</v>
      </c>
      <c r="O183" s="39">
        <v>0</v>
      </c>
      <c r="P183" s="47">
        <v>0</v>
      </c>
      <c r="Q183" s="39">
        <v>0</v>
      </c>
      <c r="R183" s="47">
        <v>0</v>
      </c>
      <c r="S183" s="39">
        <v>0</v>
      </c>
      <c r="T183" s="47">
        <v>0</v>
      </c>
      <c r="U183" s="28">
        <f t="shared" si="403"/>
        <v>99000</v>
      </c>
      <c r="V183" s="28">
        <f t="shared" si="404"/>
        <v>99000</v>
      </c>
      <c r="W183" s="28"/>
      <c r="X183" s="42">
        <v>50000</v>
      </c>
      <c r="Y183" s="41"/>
    </row>
    <row r="184" spans="1:25" x14ac:dyDescent="0.25">
      <c r="A184">
        <v>21</v>
      </c>
      <c r="B184" s="16" t="s">
        <v>146</v>
      </c>
      <c r="C184" s="8">
        <v>10</v>
      </c>
      <c r="D184" s="11" t="s">
        <v>51</v>
      </c>
      <c r="E184" s="27">
        <v>25750</v>
      </c>
      <c r="F184" s="27">
        <v>98750</v>
      </c>
      <c r="G184" s="27">
        <f t="shared" ref="G184:T184" si="420">$AE$5+$AC$5*$AG$5+$AI$5</f>
        <v>31750</v>
      </c>
      <c r="H184" s="27">
        <f t="shared" si="420"/>
        <v>31750</v>
      </c>
      <c r="I184" s="27">
        <f t="shared" si="420"/>
        <v>31750</v>
      </c>
      <c r="J184" s="27">
        <f t="shared" si="420"/>
        <v>31750</v>
      </c>
      <c r="K184" s="27">
        <f t="shared" si="420"/>
        <v>31750</v>
      </c>
      <c r="L184" s="27">
        <f t="shared" si="420"/>
        <v>31750</v>
      </c>
      <c r="M184" s="39">
        <f>$AC$32</f>
        <v>80000</v>
      </c>
      <c r="N184" s="47">
        <f t="shared" si="420"/>
        <v>31750</v>
      </c>
      <c r="O184" s="39">
        <f>$AC$32</f>
        <v>80000</v>
      </c>
      <c r="P184" s="47">
        <f t="shared" si="420"/>
        <v>31750</v>
      </c>
      <c r="Q184" s="39">
        <f>$AC$32</f>
        <v>80000</v>
      </c>
      <c r="R184" s="47">
        <f t="shared" si="420"/>
        <v>31750</v>
      </c>
      <c r="S184" s="39">
        <f>$AC$32</f>
        <v>80000</v>
      </c>
      <c r="T184" s="47">
        <f t="shared" si="420"/>
        <v>31750</v>
      </c>
      <c r="U184" s="28">
        <f t="shared" si="403"/>
        <v>635000</v>
      </c>
      <c r="V184" s="28">
        <f t="shared" si="404"/>
        <v>442000</v>
      </c>
      <c r="W184" s="28"/>
      <c r="X184" s="42">
        <v>50000</v>
      </c>
      <c r="Y184" s="41"/>
    </row>
    <row r="185" spans="1:25" x14ac:dyDescent="0.25">
      <c r="A185">
        <v>22</v>
      </c>
      <c r="B185" s="25" t="s">
        <v>154</v>
      </c>
      <c r="C185" s="8">
        <v>8</v>
      </c>
      <c r="D185" s="11" t="s">
        <v>143</v>
      </c>
      <c r="E185" s="27">
        <v>0</v>
      </c>
      <c r="F185" s="27">
        <v>160000</v>
      </c>
      <c r="G185" s="27">
        <v>50000</v>
      </c>
      <c r="H185" s="27">
        <v>50000</v>
      </c>
      <c r="I185" s="27">
        <v>50000</v>
      </c>
      <c r="J185" s="27">
        <v>50000</v>
      </c>
      <c r="K185" s="27">
        <v>50000</v>
      </c>
      <c r="L185" s="27">
        <v>50000</v>
      </c>
      <c r="M185" s="39">
        <f>$AC$50</f>
        <v>50000</v>
      </c>
      <c r="N185" s="47">
        <v>50000</v>
      </c>
      <c r="O185" s="39">
        <f>$AC$50</f>
        <v>50000</v>
      </c>
      <c r="P185" s="47">
        <v>50000</v>
      </c>
      <c r="Q185" s="39">
        <f>$AC$50</f>
        <v>50000</v>
      </c>
      <c r="R185" s="47">
        <v>50000</v>
      </c>
      <c r="S185" s="39">
        <f>$AC$50</f>
        <v>50000</v>
      </c>
      <c r="T185" s="47">
        <v>50000</v>
      </c>
      <c r="U185" s="28">
        <f t="shared" si="403"/>
        <v>660000</v>
      </c>
      <c r="V185" s="28">
        <f t="shared" si="404"/>
        <v>660000</v>
      </c>
      <c r="W185" s="28"/>
      <c r="X185" s="42">
        <v>100000</v>
      </c>
      <c r="Y185" s="41"/>
    </row>
    <row r="186" spans="1:25" x14ac:dyDescent="0.25">
      <c r="A186">
        <v>23</v>
      </c>
      <c r="B186" s="16" t="s">
        <v>146</v>
      </c>
      <c r="C186" s="8">
        <v>10</v>
      </c>
      <c r="D186" s="9" t="s">
        <v>27</v>
      </c>
      <c r="E186" s="27">
        <v>25750</v>
      </c>
      <c r="F186" s="27">
        <v>98750</v>
      </c>
      <c r="G186" s="27">
        <f t="shared" ref="G186:T187" si="421">$AE$5+$AC$5*$AG$5+$AI$5</f>
        <v>31750</v>
      </c>
      <c r="H186" s="27">
        <f t="shared" si="421"/>
        <v>31750</v>
      </c>
      <c r="I186" s="27">
        <f t="shared" si="421"/>
        <v>31750</v>
      </c>
      <c r="J186" s="27">
        <f t="shared" si="421"/>
        <v>31750</v>
      </c>
      <c r="K186" s="27">
        <f t="shared" si="421"/>
        <v>31750</v>
      </c>
      <c r="L186" s="27">
        <f t="shared" si="421"/>
        <v>31750</v>
      </c>
      <c r="M186" s="39">
        <f>$AC$32</f>
        <v>80000</v>
      </c>
      <c r="N186" s="47">
        <f t="shared" si="421"/>
        <v>31750</v>
      </c>
      <c r="O186" s="39">
        <f>$AC$32</f>
        <v>80000</v>
      </c>
      <c r="P186" s="47">
        <f t="shared" si="421"/>
        <v>31750</v>
      </c>
      <c r="Q186" s="39">
        <f>$AC$32</f>
        <v>80000</v>
      </c>
      <c r="R186" s="47">
        <f t="shared" si="421"/>
        <v>31750</v>
      </c>
      <c r="S186" s="39">
        <f>$AC$32</f>
        <v>80000</v>
      </c>
      <c r="T186" s="47">
        <f t="shared" si="421"/>
        <v>31750</v>
      </c>
      <c r="U186" s="28">
        <f t="shared" si="403"/>
        <v>635000</v>
      </c>
      <c r="V186" s="28">
        <f t="shared" si="404"/>
        <v>442000</v>
      </c>
      <c r="W186" s="28"/>
      <c r="X186" s="42">
        <v>50000</v>
      </c>
      <c r="Y186" s="41"/>
    </row>
    <row r="187" spans="1:25" x14ac:dyDescent="0.25">
      <c r="A187">
        <v>24</v>
      </c>
      <c r="B187" s="16" t="s">
        <v>146</v>
      </c>
      <c r="C187" s="8">
        <v>10</v>
      </c>
      <c r="D187" s="9" t="s">
        <v>28</v>
      </c>
      <c r="E187" s="27">
        <v>25750</v>
      </c>
      <c r="F187" s="27">
        <v>98750</v>
      </c>
      <c r="G187" s="27">
        <f t="shared" si="421"/>
        <v>31750</v>
      </c>
      <c r="H187" s="27">
        <f t="shared" si="421"/>
        <v>31750</v>
      </c>
      <c r="I187" s="27">
        <f t="shared" si="421"/>
        <v>31750</v>
      </c>
      <c r="J187" s="27">
        <f t="shared" si="421"/>
        <v>31750</v>
      </c>
      <c r="K187" s="27">
        <f t="shared" si="421"/>
        <v>31750</v>
      </c>
      <c r="L187" s="27">
        <f t="shared" si="421"/>
        <v>31750</v>
      </c>
      <c r="M187" s="39">
        <f>$AC$32</f>
        <v>80000</v>
      </c>
      <c r="N187" s="47">
        <f t="shared" si="421"/>
        <v>31750</v>
      </c>
      <c r="O187" s="39">
        <f>$AC$32</f>
        <v>80000</v>
      </c>
      <c r="P187" s="47">
        <f t="shared" si="421"/>
        <v>31750</v>
      </c>
      <c r="Q187" s="39">
        <f>$AC$32</f>
        <v>80000</v>
      </c>
      <c r="R187" s="47">
        <f t="shared" si="421"/>
        <v>31750</v>
      </c>
      <c r="S187" s="39">
        <f>$AC$32</f>
        <v>80000</v>
      </c>
      <c r="T187" s="47">
        <f t="shared" si="421"/>
        <v>31750</v>
      </c>
      <c r="U187" s="28">
        <f t="shared" si="403"/>
        <v>635000</v>
      </c>
      <c r="V187" s="28">
        <f t="shared" si="404"/>
        <v>442000</v>
      </c>
      <c r="W187" s="28"/>
      <c r="X187" s="42">
        <v>50000</v>
      </c>
      <c r="Y187" s="41"/>
    </row>
    <row r="188" spans="1:25" x14ac:dyDescent="0.25">
      <c r="A188">
        <v>25</v>
      </c>
      <c r="B188" s="16" t="s">
        <v>146</v>
      </c>
      <c r="C188" s="8">
        <v>12</v>
      </c>
      <c r="D188" s="9" t="s">
        <v>29</v>
      </c>
      <c r="E188" s="27">
        <v>44750</v>
      </c>
      <c r="F188" s="27">
        <v>116750</v>
      </c>
      <c r="G188" s="27">
        <f t="shared" ref="G188:T188" si="422">$AF$5+$AD$5*$AG$5+$AJ$5</f>
        <v>51750</v>
      </c>
      <c r="H188" s="27">
        <f t="shared" si="422"/>
        <v>51750</v>
      </c>
      <c r="I188" s="27">
        <f t="shared" si="422"/>
        <v>51750</v>
      </c>
      <c r="J188" s="27">
        <f t="shared" si="422"/>
        <v>51750</v>
      </c>
      <c r="K188" s="27">
        <f t="shared" si="422"/>
        <v>51750</v>
      </c>
      <c r="L188" s="27">
        <f t="shared" si="422"/>
        <v>51750</v>
      </c>
      <c r="M188" s="39">
        <f>$AC$32</f>
        <v>80000</v>
      </c>
      <c r="N188" s="47">
        <f t="shared" si="422"/>
        <v>51750</v>
      </c>
      <c r="O188" s="39">
        <f>$AC$32</f>
        <v>80000</v>
      </c>
      <c r="P188" s="47">
        <f t="shared" si="422"/>
        <v>51750</v>
      </c>
      <c r="Q188" s="39">
        <f>$AC$32</f>
        <v>80000</v>
      </c>
      <c r="R188" s="47">
        <f t="shared" si="422"/>
        <v>51750</v>
      </c>
      <c r="S188" s="39">
        <f>$AC$32</f>
        <v>80000</v>
      </c>
      <c r="T188" s="47">
        <f t="shared" si="422"/>
        <v>51750</v>
      </c>
      <c r="U188" s="28">
        <f t="shared" si="403"/>
        <v>792000</v>
      </c>
      <c r="V188" s="28">
        <f t="shared" si="404"/>
        <v>679000</v>
      </c>
      <c r="W188" s="28"/>
      <c r="X188" s="42">
        <v>50000</v>
      </c>
      <c r="Y188" s="41"/>
    </row>
    <row r="189" spans="1:25" x14ac:dyDescent="0.25">
      <c r="A189">
        <v>26</v>
      </c>
      <c r="B189" s="14" t="s">
        <v>66</v>
      </c>
      <c r="C189" s="8">
        <v>12</v>
      </c>
      <c r="D189" s="11" t="s">
        <v>30</v>
      </c>
      <c r="E189" s="27">
        <v>51750</v>
      </c>
      <c r="F189" s="27">
        <v>123750</v>
      </c>
      <c r="G189" s="27">
        <f>$AD$10*$AG$10+$AF$10+$AJ$10+$AK$10</f>
        <v>58750</v>
      </c>
      <c r="H189" s="27">
        <f t="shared" ref="H189:T189" si="423">$AD$10*$AG$10+$AF$10+$AJ$10+$AK$10</f>
        <v>58750</v>
      </c>
      <c r="I189" s="27">
        <f t="shared" si="423"/>
        <v>58750</v>
      </c>
      <c r="J189" s="27">
        <f t="shared" si="423"/>
        <v>58750</v>
      </c>
      <c r="K189" s="27">
        <f t="shared" si="423"/>
        <v>58750</v>
      </c>
      <c r="L189" s="27">
        <f t="shared" si="423"/>
        <v>58750</v>
      </c>
      <c r="M189" s="39">
        <f>$AE$37-$AB$37+$AE$37*$AC$37</f>
        <v>52000</v>
      </c>
      <c r="N189" s="47">
        <f t="shared" si="423"/>
        <v>58750</v>
      </c>
      <c r="O189" s="39">
        <f>$AE$37-$AB$37+$AE$37*$AC$37</f>
        <v>52000</v>
      </c>
      <c r="P189" s="47">
        <f t="shared" si="423"/>
        <v>58750</v>
      </c>
      <c r="Q189" s="39">
        <f>$AE$37-$AB$37+$AE$37*$AC$37</f>
        <v>52000</v>
      </c>
      <c r="R189" s="47">
        <f t="shared" si="423"/>
        <v>58750</v>
      </c>
      <c r="S189" s="39">
        <f>($AE$37-$AB$37+$AE$37*$AC$37)*1.1</f>
        <v>57200.000000000007</v>
      </c>
      <c r="T189" s="47">
        <f t="shared" si="423"/>
        <v>58750</v>
      </c>
      <c r="U189" s="28">
        <f t="shared" si="403"/>
        <v>741200</v>
      </c>
      <c r="V189" s="28">
        <f t="shared" si="404"/>
        <v>763000</v>
      </c>
      <c r="W189" s="28"/>
      <c r="X189" s="42">
        <v>50000</v>
      </c>
      <c r="Y189" s="41"/>
    </row>
    <row r="190" spans="1:25" x14ac:dyDescent="0.25">
      <c r="A190">
        <v>27</v>
      </c>
      <c r="B190" s="16" t="s">
        <v>146</v>
      </c>
      <c r="C190" s="8">
        <v>10</v>
      </c>
      <c r="D190" s="9" t="s">
        <v>31</v>
      </c>
      <c r="E190" s="27">
        <v>25750</v>
      </c>
      <c r="F190" s="27">
        <v>98750</v>
      </c>
      <c r="G190" s="27">
        <f t="shared" ref="G190:T190" si="424">$AE$5+$AC$5*$AG$5+$AI$5</f>
        <v>31750</v>
      </c>
      <c r="H190" s="27">
        <f t="shared" si="424"/>
        <v>31750</v>
      </c>
      <c r="I190" s="27">
        <f t="shared" si="424"/>
        <v>31750</v>
      </c>
      <c r="J190" s="27">
        <f t="shared" si="424"/>
        <v>31750</v>
      </c>
      <c r="K190" s="27">
        <f t="shared" si="424"/>
        <v>31750</v>
      </c>
      <c r="L190" s="27">
        <f t="shared" si="424"/>
        <v>31750</v>
      </c>
      <c r="M190" s="39">
        <f>$AC$32</f>
        <v>80000</v>
      </c>
      <c r="N190" s="47">
        <f t="shared" si="424"/>
        <v>31750</v>
      </c>
      <c r="O190" s="39">
        <f>$AC$32</f>
        <v>80000</v>
      </c>
      <c r="P190" s="47">
        <f t="shared" si="424"/>
        <v>31750</v>
      </c>
      <c r="Q190" s="39">
        <f>$AC$32</f>
        <v>80000</v>
      </c>
      <c r="R190" s="47">
        <f t="shared" si="424"/>
        <v>31750</v>
      </c>
      <c r="S190" s="39">
        <f>$AC$32</f>
        <v>80000</v>
      </c>
      <c r="T190" s="47">
        <f t="shared" si="424"/>
        <v>31750</v>
      </c>
      <c r="U190" s="28">
        <f t="shared" si="403"/>
        <v>635000</v>
      </c>
      <c r="V190" s="28">
        <f t="shared" si="404"/>
        <v>442000</v>
      </c>
      <c r="W190" s="28"/>
      <c r="X190" s="42">
        <v>50000</v>
      </c>
      <c r="Y190" s="41"/>
    </row>
    <row r="191" spans="1:25" x14ac:dyDescent="0.25">
      <c r="A191">
        <v>28</v>
      </c>
      <c r="B191" s="14" t="s">
        <v>62</v>
      </c>
      <c r="C191" s="8">
        <v>10</v>
      </c>
      <c r="D191" s="11" t="s">
        <v>52</v>
      </c>
      <c r="E191" s="27">
        <v>32750</v>
      </c>
      <c r="F191" s="27">
        <v>105750</v>
      </c>
      <c r="G191" s="27">
        <f>$AE$12+$AC$12*$AG$12+$AI$12+$AK$12</f>
        <v>38750</v>
      </c>
      <c r="H191" s="27">
        <f t="shared" ref="H191:T191" si="425">$AE$12+$AC$12*$AG$12+$AI$12+$AK$12</f>
        <v>38750</v>
      </c>
      <c r="I191" s="27">
        <f t="shared" si="425"/>
        <v>38750</v>
      </c>
      <c r="J191" s="27">
        <f t="shared" si="425"/>
        <v>38750</v>
      </c>
      <c r="K191" s="27">
        <f t="shared" si="425"/>
        <v>38750</v>
      </c>
      <c r="L191" s="27">
        <f t="shared" si="425"/>
        <v>38750</v>
      </c>
      <c r="M191" s="39">
        <f>$AD$39-$AB$39+$AD$39*$AC$39</f>
        <v>30000</v>
      </c>
      <c r="N191" s="47">
        <f t="shared" si="425"/>
        <v>38750</v>
      </c>
      <c r="O191" s="39">
        <f>$AD$39-$AB$39+$AD$39*$AC$39</f>
        <v>30000</v>
      </c>
      <c r="P191" s="47">
        <f t="shared" si="425"/>
        <v>38750</v>
      </c>
      <c r="Q191" s="39">
        <f>$AD$39-$AB$39+$AD$39*$AC$39</f>
        <v>30000</v>
      </c>
      <c r="R191" s="47">
        <f t="shared" si="425"/>
        <v>38750</v>
      </c>
      <c r="S191" s="39">
        <f>($AD$39-$AB$39+$AD$39*$AC$39)*1.1</f>
        <v>33000</v>
      </c>
      <c r="T191" s="47">
        <f t="shared" si="425"/>
        <v>38750</v>
      </c>
      <c r="U191" s="28">
        <f t="shared" si="403"/>
        <v>494000</v>
      </c>
      <c r="V191" s="28">
        <f t="shared" si="404"/>
        <v>526000</v>
      </c>
      <c r="W191" s="28"/>
      <c r="X191" s="42">
        <v>50000</v>
      </c>
      <c r="Y191" s="41"/>
    </row>
    <row r="192" spans="1:25" x14ac:dyDescent="0.25">
      <c r="A192">
        <v>29</v>
      </c>
      <c r="B192" s="16" t="s">
        <v>145</v>
      </c>
      <c r="C192" s="8">
        <v>10</v>
      </c>
      <c r="D192" s="11" t="s">
        <v>53</v>
      </c>
      <c r="E192" s="27">
        <v>25750</v>
      </c>
      <c r="F192" s="27">
        <v>98750</v>
      </c>
      <c r="G192" s="27">
        <f>$AE$6+$AC$6*$AG$6+$AI$6</f>
        <v>31750</v>
      </c>
      <c r="H192" s="27">
        <f t="shared" ref="H192:T192" si="426">$AE$6+$AC$6*$AG$6+$AI$6</f>
        <v>31750</v>
      </c>
      <c r="I192" s="27">
        <f t="shared" si="426"/>
        <v>31750</v>
      </c>
      <c r="J192" s="27">
        <f t="shared" si="426"/>
        <v>31750</v>
      </c>
      <c r="K192" s="27">
        <f t="shared" si="426"/>
        <v>31750</v>
      </c>
      <c r="L192" s="27">
        <f t="shared" si="426"/>
        <v>31750</v>
      </c>
      <c r="M192" s="39">
        <f>$AD$33-$AB$33+$AD$33*$AC$33</f>
        <v>28125</v>
      </c>
      <c r="N192" s="47">
        <f t="shared" si="426"/>
        <v>31750</v>
      </c>
      <c r="O192" s="39">
        <f>$AD$33-$AB$33+$AD$33*$AC$33</f>
        <v>28125</v>
      </c>
      <c r="P192" s="47">
        <f t="shared" si="426"/>
        <v>31750</v>
      </c>
      <c r="Q192" s="39">
        <f>$AD$33-$AB$33+$AD$33*$AC$33</f>
        <v>28125</v>
      </c>
      <c r="R192" s="47">
        <f t="shared" si="426"/>
        <v>31750</v>
      </c>
      <c r="S192" s="39">
        <f>($AD$33-$AB$33+$AD$33*$AC$33)*1.1</f>
        <v>30937.500000000004</v>
      </c>
      <c r="T192" s="47">
        <f t="shared" si="426"/>
        <v>31750</v>
      </c>
      <c r="U192" s="28">
        <f t="shared" si="403"/>
        <v>430312.5</v>
      </c>
      <c r="V192" s="28">
        <f t="shared" si="404"/>
        <v>442000</v>
      </c>
      <c r="W192" s="28"/>
      <c r="X192" s="42">
        <v>50000</v>
      </c>
      <c r="Y192" s="41"/>
    </row>
    <row r="193" spans="1:25" x14ac:dyDescent="0.25">
      <c r="A193">
        <v>30</v>
      </c>
      <c r="B193" s="16" t="s">
        <v>146</v>
      </c>
      <c r="C193" s="8">
        <v>10</v>
      </c>
      <c r="D193" s="9" t="s">
        <v>32</v>
      </c>
      <c r="E193" s="27">
        <v>25750</v>
      </c>
      <c r="F193" s="27">
        <v>98750</v>
      </c>
      <c r="G193" s="27">
        <f t="shared" ref="G193:T193" si="427">$AE$5+$AC$5*$AG$5+$AI$5</f>
        <v>31750</v>
      </c>
      <c r="H193" s="27">
        <f t="shared" si="427"/>
        <v>31750</v>
      </c>
      <c r="I193" s="27">
        <f t="shared" si="427"/>
        <v>31750</v>
      </c>
      <c r="J193" s="27">
        <f t="shared" si="427"/>
        <v>31750</v>
      </c>
      <c r="K193" s="27">
        <f t="shared" si="427"/>
        <v>31750</v>
      </c>
      <c r="L193" s="27">
        <f t="shared" si="427"/>
        <v>31750</v>
      </c>
      <c r="M193" s="39">
        <f>$AC$32</f>
        <v>80000</v>
      </c>
      <c r="N193" s="47">
        <f t="shared" si="427"/>
        <v>31750</v>
      </c>
      <c r="O193" s="39">
        <f>$AC$32</f>
        <v>80000</v>
      </c>
      <c r="P193" s="47">
        <f t="shared" si="427"/>
        <v>31750</v>
      </c>
      <c r="Q193" s="39">
        <f>$AC$32</f>
        <v>80000</v>
      </c>
      <c r="R193" s="47">
        <f t="shared" si="427"/>
        <v>31750</v>
      </c>
      <c r="S193" s="39">
        <f>$AC$32</f>
        <v>80000</v>
      </c>
      <c r="T193" s="47">
        <f t="shared" si="427"/>
        <v>31750</v>
      </c>
      <c r="U193" s="28">
        <f t="shared" si="403"/>
        <v>635000</v>
      </c>
      <c r="V193" s="28">
        <f t="shared" si="404"/>
        <v>442000</v>
      </c>
      <c r="W193" s="28"/>
      <c r="X193" s="42">
        <v>50000</v>
      </c>
      <c r="Y193" s="41"/>
    </row>
    <row r="194" spans="1:25" x14ac:dyDescent="0.25">
      <c r="A194">
        <v>31</v>
      </c>
      <c r="B194" s="15" t="s">
        <v>61</v>
      </c>
      <c r="C194" s="8">
        <v>10</v>
      </c>
      <c r="D194" s="9" t="s">
        <v>33</v>
      </c>
      <c r="E194" s="27">
        <v>25750</v>
      </c>
      <c r="F194" s="27">
        <v>98750</v>
      </c>
      <c r="G194" s="27">
        <f>$AE$14+$AC$14*$AG$14+$AI$14</f>
        <v>31750</v>
      </c>
      <c r="H194" s="27">
        <f t="shared" ref="H194:T195" si="428">$AE$14+$AC$14*$AG$14+$AI$14</f>
        <v>31750</v>
      </c>
      <c r="I194" s="27">
        <f t="shared" si="428"/>
        <v>31750</v>
      </c>
      <c r="J194" s="27">
        <f t="shared" si="428"/>
        <v>31750</v>
      </c>
      <c r="K194" s="27">
        <f t="shared" si="428"/>
        <v>31750</v>
      </c>
      <c r="L194" s="27">
        <f t="shared" si="428"/>
        <v>31750</v>
      </c>
      <c r="M194" s="39">
        <f>$AD$41-$AB$41+$AD$41*$AC$41</f>
        <v>28125</v>
      </c>
      <c r="N194" s="47">
        <f t="shared" si="428"/>
        <v>31750</v>
      </c>
      <c r="O194" s="39">
        <f>$AD$41-$AB$41+$AD$41*$AC$41</f>
        <v>28125</v>
      </c>
      <c r="P194" s="47">
        <f t="shared" si="428"/>
        <v>31750</v>
      </c>
      <c r="Q194" s="39">
        <f>$AD$41-$AB$41+$AD$41*$AC$41</f>
        <v>28125</v>
      </c>
      <c r="R194" s="47">
        <f t="shared" si="428"/>
        <v>31750</v>
      </c>
      <c r="S194" s="39">
        <f>($AD$41-$AB$41+$AD$41*$AC$41)*1.1</f>
        <v>30937.500000000004</v>
      </c>
      <c r="T194" s="47">
        <f t="shared" si="428"/>
        <v>31750</v>
      </c>
      <c r="U194" s="28">
        <f t="shared" si="403"/>
        <v>430312.5</v>
      </c>
      <c r="V194" s="28">
        <f t="shared" si="404"/>
        <v>442000</v>
      </c>
      <c r="W194" s="28"/>
      <c r="X194" s="42">
        <v>50000</v>
      </c>
      <c r="Y194" s="41"/>
    </row>
    <row r="195" spans="1:25" x14ac:dyDescent="0.25">
      <c r="A195">
        <v>32</v>
      </c>
      <c r="B195" s="15" t="s">
        <v>61</v>
      </c>
      <c r="C195" s="8">
        <v>10</v>
      </c>
      <c r="D195" s="9" t="s">
        <v>34</v>
      </c>
      <c r="E195" s="27">
        <v>25750</v>
      </c>
      <c r="F195" s="27">
        <v>98750</v>
      </c>
      <c r="G195" s="27">
        <f>$AE$14+$AC$14*$AG$14+$AI$14</f>
        <v>31750</v>
      </c>
      <c r="H195" s="27">
        <f t="shared" si="428"/>
        <v>31750</v>
      </c>
      <c r="I195" s="27">
        <f t="shared" si="428"/>
        <v>31750</v>
      </c>
      <c r="J195" s="27">
        <f t="shared" si="428"/>
        <v>31750</v>
      </c>
      <c r="K195" s="27">
        <f t="shared" si="428"/>
        <v>31750</v>
      </c>
      <c r="L195" s="27">
        <f t="shared" si="428"/>
        <v>31750</v>
      </c>
      <c r="M195" s="39">
        <f>$AD$41-$AB$41+$AD$41*$AC$41</f>
        <v>28125</v>
      </c>
      <c r="N195" s="47">
        <f t="shared" si="428"/>
        <v>31750</v>
      </c>
      <c r="O195" s="39">
        <f>$AD$41-$AB$41+$AD$41*$AC$41</f>
        <v>28125</v>
      </c>
      <c r="P195" s="47">
        <f t="shared" si="428"/>
        <v>31750</v>
      </c>
      <c r="Q195" s="39">
        <f>$AD$41-$AB$41+$AD$41*$AC$41</f>
        <v>28125</v>
      </c>
      <c r="R195" s="47">
        <f t="shared" si="428"/>
        <v>31750</v>
      </c>
      <c r="S195" s="39">
        <f>($AD$41-$AB$41+$AD$41*$AC$41)*1.1</f>
        <v>30937.500000000004</v>
      </c>
      <c r="T195" s="47">
        <f t="shared" si="428"/>
        <v>31750</v>
      </c>
      <c r="U195" s="28">
        <f t="shared" si="403"/>
        <v>430312.5</v>
      </c>
      <c r="V195" s="28">
        <f t="shared" si="404"/>
        <v>442000</v>
      </c>
      <c r="W195" s="28"/>
      <c r="X195" s="42">
        <v>50000</v>
      </c>
      <c r="Y195" s="41"/>
    </row>
    <row r="196" spans="1:25" x14ac:dyDescent="0.25">
      <c r="A196">
        <v>33</v>
      </c>
      <c r="B196" s="16" t="s">
        <v>146</v>
      </c>
      <c r="C196" s="8">
        <v>10</v>
      </c>
      <c r="D196" s="9" t="s">
        <v>54</v>
      </c>
      <c r="E196" s="27">
        <v>25750</v>
      </c>
      <c r="F196" s="27">
        <v>98750</v>
      </c>
      <c r="G196" s="27">
        <f t="shared" ref="G196:T197" si="429">$AE$5+$AC$5*$AG$5+$AI$5</f>
        <v>31750</v>
      </c>
      <c r="H196" s="27">
        <f t="shared" si="429"/>
        <v>31750</v>
      </c>
      <c r="I196" s="27">
        <f t="shared" si="429"/>
        <v>31750</v>
      </c>
      <c r="J196" s="27">
        <f t="shared" si="429"/>
        <v>31750</v>
      </c>
      <c r="K196" s="27">
        <f t="shared" si="429"/>
        <v>31750</v>
      </c>
      <c r="L196" s="27">
        <f t="shared" si="429"/>
        <v>31750</v>
      </c>
      <c r="M196" s="39">
        <f>$AC$32</f>
        <v>80000</v>
      </c>
      <c r="N196" s="47">
        <f t="shared" si="429"/>
        <v>31750</v>
      </c>
      <c r="O196" s="39">
        <f>$AC$32</f>
        <v>80000</v>
      </c>
      <c r="P196" s="47">
        <f t="shared" si="429"/>
        <v>31750</v>
      </c>
      <c r="Q196" s="39">
        <f>$AC$32</f>
        <v>80000</v>
      </c>
      <c r="R196" s="47">
        <f t="shared" si="429"/>
        <v>31750</v>
      </c>
      <c r="S196" s="39">
        <f>$AC$32</f>
        <v>80000</v>
      </c>
      <c r="T196" s="47">
        <f t="shared" si="429"/>
        <v>31750</v>
      </c>
      <c r="U196" s="28">
        <f t="shared" si="403"/>
        <v>635000</v>
      </c>
      <c r="V196" s="28">
        <f t="shared" si="404"/>
        <v>442000</v>
      </c>
      <c r="W196" s="28"/>
      <c r="X196" s="42">
        <v>50000</v>
      </c>
      <c r="Y196" s="41"/>
    </row>
    <row r="197" spans="1:25" x14ac:dyDescent="0.25">
      <c r="A197">
        <v>34</v>
      </c>
      <c r="B197" s="16" t="s">
        <v>146</v>
      </c>
      <c r="C197" s="8">
        <v>10</v>
      </c>
      <c r="D197" s="11" t="s">
        <v>55</v>
      </c>
      <c r="E197" s="27">
        <v>25750</v>
      </c>
      <c r="F197" s="27">
        <v>98750</v>
      </c>
      <c r="G197" s="27">
        <f t="shared" si="429"/>
        <v>31750</v>
      </c>
      <c r="H197" s="27">
        <f t="shared" si="429"/>
        <v>31750</v>
      </c>
      <c r="I197" s="27">
        <f t="shared" si="429"/>
        <v>31750</v>
      </c>
      <c r="J197" s="27">
        <f t="shared" si="429"/>
        <v>31750</v>
      </c>
      <c r="K197" s="27">
        <f t="shared" si="429"/>
        <v>31750</v>
      </c>
      <c r="L197" s="27">
        <f t="shared" si="429"/>
        <v>31750</v>
      </c>
      <c r="M197" s="39">
        <f>$AC$32</f>
        <v>80000</v>
      </c>
      <c r="N197" s="47">
        <f t="shared" si="429"/>
        <v>31750</v>
      </c>
      <c r="O197" s="39">
        <f>$AC$32</f>
        <v>80000</v>
      </c>
      <c r="P197" s="47">
        <f t="shared" si="429"/>
        <v>31750</v>
      </c>
      <c r="Q197" s="39">
        <f>$AC$32</f>
        <v>80000</v>
      </c>
      <c r="R197" s="47">
        <f t="shared" si="429"/>
        <v>31750</v>
      </c>
      <c r="S197" s="39">
        <f>$AC$32</f>
        <v>80000</v>
      </c>
      <c r="T197" s="47">
        <f t="shared" si="429"/>
        <v>31750</v>
      </c>
      <c r="U197" s="28">
        <f t="shared" si="403"/>
        <v>635000</v>
      </c>
      <c r="V197" s="28">
        <f t="shared" si="404"/>
        <v>442000</v>
      </c>
      <c r="W197" s="28"/>
      <c r="X197" s="42">
        <v>50000</v>
      </c>
      <c r="Y197" s="41"/>
    </row>
    <row r="198" spans="1:25" x14ac:dyDescent="0.25">
      <c r="A198">
        <v>35</v>
      </c>
      <c r="B198" s="8" t="s">
        <v>138</v>
      </c>
      <c r="C198" s="8">
        <v>10</v>
      </c>
      <c r="D198" s="9" t="s">
        <v>35</v>
      </c>
      <c r="E198" s="27">
        <v>19500</v>
      </c>
      <c r="F198" s="27">
        <v>79500</v>
      </c>
      <c r="G198" s="27">
        <f>$AI$4</f>
        <v>17500</v>
      </c>
      <c r="H198" s="27">
        <f t="shared" ref="H198:T198" si="430">$AI$4</f>
        <v>17500</v>
      </c>
      <c r="I198" s="27">
        <f t="shared" si="430"/>
        <v>17500</v>
      </c>
      <c r="J198" s="27">
        <f t="shared" si="430"/>
        <v>17500</v>
      </c>
      <c r="K198" s="27">
        <f t="shared" si="430"/>
        <v>17500</v>
      </c>
      <c r="L198" s="27">
        <f t="shared" si="430"/>
        <v>17500</v>
      </c>
      <c r="M198" s="39">
        <f>$AD$31-$AB$31</f>
        <v>17500</v>
      </c>
      <c r="N198" s="47">
        <f t="shared" si="430"/>
        <v>17500</v>
      </c>
      <c r="O198" s="39">
        <f>$AD$31-$AB$31</f>
        <v>17500</v>
      </c>
      <c r="P198" s="47">
        <f t="shared" si="430"/>
        <v>17500</v>
      </c>
      <c r="Q198" s="39">
        <f>$AD$31-$AB$31</f>
        <v>17500</v>
      </c>
      <c r="R198" s="47">
        <f t="shared" si="430"/>
        <v>17500</v>
      </c>
      <c r="S198" s="39">
        <f>$AD$31-$AB$31</f>
        <v>17500</v>
      </c>
      <c r="T198" s="47">
        <f t="shared" si="430"/>
        <v>17500</v>
      </c>
      <c r="U198" s="28">
        <f t="shared" si="403"/>
        <v>274000</v>
      </c>
      <c r="V198" s="28">
        <f t="shared" si="404"/>
        <v>274000</v>
      </c>
      <c r="W198" s="28"/>
      <c r="X198" s="42">
        <v>50000</v>
      </c>
      <c r="Y198" s="41"/>
    </row>
    <row r="199" spans="1:25" x14ac:dyDescent="0.25">
      <c r="A199">
        <v>36</v>
      </c>
      <c r="B199" s="16" t="s">
        <v>146</v>
      </c>
      <c r="C199" s="8">
        <v>10</v>
      </c>
      <c r="D199" s="9" t="s">
        <v>36</v>
      </c>
      <c r="E199" s="27">
        <v>25750</v>
      </c>
      <c r="F199" s="27">
        <v>98750</v>
      </c>
      <c r="G199" s="27">
        <f t="shared" ref="G199:T199" si="431">$AE$5+$AC$5*$AG$5+$AI$5</f>
        <v>31750</v>
      </c>
      <c r="H199" s="27">
        <f t="shared" si="431"/>
        <v>31750</v>
      </c>
      <c r="I199" s="27">
        <f t="shared" si="431"/>
        <v>31750</v>
      </c>
      <c r="J199" s="27">
        <f t="shared" si="431"/>
        <v>31750</v>
      </c>
      <c r="K199" s="27">
        <f t="shared" si="431"/>
        <v>31750</v>
      </c>
      <c r="L199" s="27">
        <f t="shared" si="431"/>
        <v>31750</v>
      </c>
      <c r="M199" s="39">
        <f>$AC$32</f>
        <v>80000</v>
      </c>
      <c r="N199" s="47">
        <f t="shared" si="431"/>
        <v>31750</v>
      </c>
      <c r="O199" s="39">
        <f>$AC$32</f>
        <v>80000</v>
      </c>
      <c r="P199" s="47">
        <f t="shared" si="431"/>
        <v>31750</v>
      </c>
      <c r="Q199" s="39">
        <f>$AC$32</f>
        <v>80000</v>
      </c>
      <c r="R199" s="47">
        <f t="shared" si="431"/>
        <v>31750</v>
      </c>
      <c r="S199" s="39">
        <f>$AC$32</f>
        <v>80000</v>
      </c>
      <c r="T199" s="47">
        <f t="shared" si="431"/>
        <v>31750</v>
      </c>
      <c r="U199" s="28">
        <f t="shared" si="403"/>
        <v>635000</v>
      </c>
      <c r="V199" s="28">
        <f t="shared" si="404"/>
        <v>442000</v>
      </c>
      <c r="W199" s="28"/>
      <c r="X199" s="42">
        <v>50000</v>
      </c>
      <c r="Y199" s="41"/>
    </row>
    <row r="200" spans="1:25" x14ac:dyDescent="0.25">
      <c r="A200">
        <v>37</v>
      </c>
      <c r="B200" s="16" t="s">
        <v>146</v>
      </c>
      <c r="C200" s="8">
        <v>12</v>
      </c>
      <c r="D200" s="9" t="s">
        <v>37</v>
      </c>
      <c r="E200" s="27">
        <v>25750</v>
      </c>
      <c r="F200" s="27">
        <v>98750</v>
      </c>
      <c r="G200" s="27">
        <f t="shared" ref="G200:T200" si="432">$AF$5+$AD$5*$AG$5+$AJ$5</f>
        <v>51750</v>
      </c>
      <c r="H200" s="27">
        <f t="shared" si="432"/>
        <v>51750</v>
      </c>
      <c r="I200" s="27">
        <f t="shared" si="432"/>
        <v>51750</v>
      </c>
      <c r="J200" s="27">
        <f t="shared" si="432"/>
        <v>51750</v>
      </c>
      <c r="K200" s="27">
        <f t="shared" si="432"/>
        <v>51750</v>
      </c>
      <c r="L200" s="27">
        <f t="shared" si="432"/>
        <v>51750</v>
      </c>
      <c r="M200" s="39">
        <f>$AC$32</f>
        <v>80000</v>
      </c>
      <c r="N200" s="47">
        <f t="shared" si="432"/>
        <v>51750</v>
      </c>
      <c r="O200" s="39">
        <f>$AC$32</f>
        <v>80000</v>
      </c>
      <c r="P200" s="47">
        <f t="shared" si="432"/>
        <v>51750</v>
      </c>
      <c r="Q200" s="39">
        <f>$AC$32</f>
        <v>80000</v>
      </c>
      <c r="R200" s="47">
        <f t="shared" si="432"/>
        <v>51750</v>
      </c>
      <c r="S200" s="39">
        <f>$AC$32</f>
        <v>80000</v>
      </c>
      <c r="T200" s="47">
        <f t="shared" si="432"/>
        <v>51750</v>
      </c>
      <c r="U200" s="28">
        <f t="shared" si="403"/>
        <v>755000</v>
      </c>
      <c r="V200" s="28">
        <f t="shared" si="404"/>
        <v>642000</v>
      </c>
      <c r="W200" s="28"/>
      <c r="X200" s="42">
        <v>50000</v>
      </c>
      <c r="Y200" s="41"/>
    </row>
    <row r="201" spans="1:25" x14ac:dyDescent="0.25">
      <c r="A201">
        <v>38</v>
      </c>
      <c r="B201" s="16" t="s">
        <v>145</v>
      </c>
      <c r="C201" s="8">
        <v>12</v>
      </c>
      <c r="D201" s="11" t="s">
        <v>56</v>
      </c>
      <c r="E201" s="27">
        <v>25750</v>
      </c>
      <c r="F201" s="27">
        <v>98750</v>
      </c>
      <c r="G201" s="27">
        <f>$AF$6+$AD$6*$AG$6+$AJ$6</f>
        <v>51750</v>
      </c>
      <c r="H201" s="27">
        <f t="shared" ref="H201:T201" si="433">$AF$6+$AD$6*$AG$6+$AJ$6</f>
        <v>51750</v>
      </c>
      <c r="I201" s="27">
        <f t="shared" si="433"/>
        <v>51750</v>
      </c>
      <c r="J201" s="27">
        <f t="shared" si="433"/>
        <v>51750</v>
      </c>
      <c r="K201" s="27">
        <f t="shared" si="433"/>
        <v>51750</v>
      </c>
      <c r="L201" s="27">
        <f t="shared" si="433"/>
        <v>51750</v>
      </c>
      <c r="M201" s="39">
        <f>$AE$33-$AB$33+$AE$33*$AC$33</f>
        <v>48750</v>
      </c>
      <c r="N201" s="47">
        <f t="shared" si="433"/>
        <v>51750</v>
      </c>
      <c r="O201" s="39">
        <f>$AE$33-$AB$33+$AE$33*$AC$33</f>
        <v>48750</v>
      </c>
      <c r="P201" s="47">
        <f t="shared" si="433"/>
        <v>51750</v>
      </c>
      <c r="Q201" s="39">
        <f>$AE$33-$AB$33+$AE$33*$AC$33</f>
        <v>48750</v>
      </c>
      <c r="R201" s="47">
        <f t="shared" si="433"/>
        <v>51750</v>
      </c>
      <c r="S201" s="39">
        <f>($AE$33-$AB$33+$AE$33*$AC$33)*1.1</f>
        <v>53625.000000000007</v>
      </c>
      <c r="T201" s="47">
        <f t="shared" si="433"/>
        <v>51750</v>
      </c>
      <c r="U201" s="28">
        <f t="shared" si="403"/>
        <v>634875</v>
      </c>
      <c r="V201" s="28">
        <f t="shared" si="404"/>
        <v>642000</v>
      </c>
      <c r="W201" s="28"/>
      <c r="X201" s="42">
        <v>50000</v>
      </c>
      <c r="Y201" s="41"/>
    </row>
    <row r="202" spans="1:25" x14ac:dyDescent="0.25">
      <c r="A202">
        <v>39</v>
      </c>
      <c r="B202" s="14" t="s">
        <v>59</v>
      </c>
      <c r="C202" s="8">
        <v>12</v>
      </c>
      <c r="D202" s="11" t="s">
        <v>57</v>
      </c>
      <c r="E202" s="27">
        <v>54750</v>
      </c>
      <c r="F202" s="27">
        <v>126750</v>
      </c>
      <c r="G202" s="27">
        <f>$AF$11+$AD$11*$AG$11+$AJ$11+$AK$11</f>
        <v>61750</v>
      </c>
      <c r="H202" s="27">
        <f t="shared" ref="H202:T202" si="434">$AF$11+$AD$11*$AG$11+$AJ$11+$AK$11</f>
        <v>61750</v>
      </c>
      <c r="I202" s="27">
        <f t="shared" si="434"/>
        <v>61750</v>
      </c>
      <c r="J202" s="27">
        <f t="shared" si="434"/>
        <v>61750</v>
      </c>
      <c r="K202" s="27">
        <f t="shared" si="434"/>
        <v>61750</v>
      </c>
      <c r="L202" s="27">
        <f t="shared" si="434"/>
        <v>61750</v>
      </c>
      <c r="M202" s="39">
        <f>$AE$38-$AB$38+$AE$38*$AC$38</f>
        <v>58000</v>
      </c>
      <c r="N202" s="47">
        <f t="shared" si="434"/>
        <v>61750</v>
      </c>
      <c r="O202" s="39">
        <f>$AE$38-$AB$38+$AE$38*$AC$38</f>
        <v>58000</v>
      </c>
      <c r="P202" s="47">
        <f t="shared" si="434"/>
        <v>61750</v>
      </c>
      <c r="Q202" s="39">
        <f>$AE$38-$AB$38+$AE$38*$AC$38</f>
        <v>58000</v>
      </c>
      <c r="R202" s="47">
        <f t="shared" si="434"/>
        <v>61750</v>
      </c>
      <c r="S202" s="39">
        <f>($AE$38-$AB$38+$AE$38*$AC$38)*1.1</f>
        <v>63800.000000000007</v>
      </c>
      <c r="T202" s="47">
        <f t="shared" si="434"/>
        <v>61750</v>
      </c>
      <c r="U202" s="28">
        <f t="shared" si="403"/>
        <v>789800</v>
      </c>
      <c r="V202" s="28">
        <f t="shared" si="404"/>
        <v>799000</v>
      </c>
      <c r="W202" s="28"/>
      <c r="X202" s="42">
        <v>50000</v>
      </c>
      <c r="Y202" s="41"/>
    </row>
    <row r="203" spans="1:25" x14ac:dyDescent="0.25">
      <c r="A203">
        <v>40</v>
      </c>
      <c r="B203" s="16" t="s">
        <v>146</v>
      </c>
      <c r="C203" s="8">
        <v>10</v>
      </c>
      <c r="D203" s="9" t="s">
        <v>38</v>
      </c>
      <c r="E203" s="27">
        <v>25750</v>
      </c>
      <c r="F203" s="27">
        <v>98750</v>
      </c>
      <c r="G203" s="27">
        <f t="shared" ref="G203:T204" si="435">$AE$5+$AC$5*$AG$5+$AI$5</f>
        <v>31750</v>
      </c>
      <c r="H203" s="27">
        <f t="shared" si="435"/>
        <v>31750</v>
      </c>
      <c r="I203" s="27">
        <f t="shared" si="435"/>
        <v>31750</v>
      </c>
      <c r="J203" s="27">
        <f t="shared" si="435"/>
        <v>31750</v>
      </c>
      <c r="K203" s="27">
        <f t="shared" si="435"/>
        <v>31750</v>
      </c>
      <c r="L203" s="27">
        <f t="shared" si="435"/>
        <v>31750</v>
      </c>
      <c r="M203" s="39">
        <f>$AC$32</f>
        <v>80000</v>
      </c>
      <c r="N203" s="47">
        <f t="shared" si="435"/>
        <v>31750</v>
      </c>
      <c r="O203" s="39">
        <f>$AC$32</f>
        <v>80000</v>
      </c>
      <c r="P203" s="47">
        <f t="shared" si="435"/>
        <v>31750</v>
      </c>
      <c r="Q203" s="39">
        <f>$AC$32</f>
        <v>80000</v>
      </c>
      <c r="R203" s="47">
        <f t="shared" si="435"/>
        <v>31750</v>
      </c>
      <c r="S203" s="39">
        <f>$AC$32</f>
        <v>80000</v>
      </c>
      <c r="T203" s="47">
        <f t="shared" si="435"/>
        <v>31750</v>
      </c>
      <c r="U203" s="28">
        <f t="shared" si="403"/>
        <v>635000</v>
      </c>
      <c r="V203" s="28">
        <f t="shared" si="404"/>
        <v>442000</v>
      </c>
      <c r="W203" s="28"/>
      <c r="X203" s="42">
        <v>50000</v>
      </c>
      <c r="Y203" s="41"/>
    </row>
    <row r="204" spans="1:25" x14ac:dyDescent="0.25">
      <c r="A204">
        <v>41</v>
      </c>
      <c r="B204" s="16" t="s">
        <v>146</v>
      </c>
      <c r="C204" s="31">
        <v>10</v>
      </c>
      <c r="D204" s="13" t="s">
        <v>39</v>
      </c>
      <c r="E204" s="27">
        <v>25750</v>
      </c>
      <c r="F204" s="27">
        <v>98750</v>
      </c>
      <c r="G204" s="27">
        <f t="shared" si="435"/>
        <v>31750</v>
      </c>
      <c r="H204" s="27">
        <f t="shared" si="435"/>
        <v>31750</v>
      </c>
      <c r="I204" s="27">
        <f t="shared" si="435"/>
        <v>31750</v>
      </c>
      <c r="J204" s="27">
        <f t="shared" si="435"/>
        <v>31750</v>
      </c>
      <c r="K204" s="27">
        <f t="shared" si="435"/>
        <v>31750</v>
      </c>
      <c r="L204" s="27">
        <f t="shared" si="435"/>
        <v>31750</v>
      </c>
      <c r="M204" s="39">
        <f>$AC$32</f>
        <v>80000</v>
      </c>
      <c r="N204" s="47">
        <f t="shared" si="435"/>
        <v>31750</v>
      </c>
      <c r="O204" s="39">
        <f>$AC$32</f>
        <v>80000</v>
      </c>
      <c r="P204" s="47">
        <f t="shared" si="435"/>
        <v>31750</v>
      </c>
      <c r="Q204" s="39">
        <f>$AC$32</f>
        <v>80000</v>
      </c>
      <c r="R204" s="47">
        <f t="shared" si="435"/>
        <v>31750</v>
      </c>
      <c r="S204" s="39">
        <f>$AC$32</f>
        <v>80000</v>
      </c>
      <c r="T204" s="47">
        <f t="shared" si="435"/>
        <v>31750</v>
      </c>
      <c r="U204" s="28">
        <f t="shared" si="403"/>
        <v>635000</v>
      </c>
      <c r="V204" s="28">
        <f t="shared" si="404"/>
        <v>442000</v>
      </c>
      <c r="W204" s="28"/>
      <c r="X204" s="42">
        <v>50000</v>
      </c>
      <c r="Y204" s="41"/>
    </row>
    <row r="205" spans="1:25" x14ac:dyDescent="0.25">
      <c r="A205">
        <v>42</v>
      </c>
      <c r="B205" s="15" t="s">
        <v>68</v>
      </c>
      <c r="C205" s="8">
        <v>10</v>
      </c>
      <c r="D205" s="11" t="s">
        <v>58</v>
      </c>
      <c r="E205" s="27">
        <v>25750</v>
      </c>
      <c r="F205" s="27">
        <v>98750</v>
      </c>
      <c r="G205" s="27">
        <f>$AE$15+$AC$15*$AG$15+$AI$15</f>
        <v>31750</v>
      </c>
      <c r="H205" s="27">
        <f t="shared" ref="H205:T205" si="436">$AE$15+$AC$15*$AG$15+$AI$15</f>
        <v>31750</v>
      </c>
      <c r="I205" s="27">
        <f t="shared" si="436"/>
        <v>31750</v>
      </c>
      <c r="J205" s="27">
        <f t="shared" si="436"/>
        <v>31750</v>
      </c>
      <c r="K205" s="27">
        <f t="shared" si="436"/>
        <v>31750</v>
      </c>
      <c r="L205" s="27">
        <f t="shared" si="436"/>
        <v>31750</v>
      </c>
      <c r="M205" s="39">
        <f>$AD$42-$AB$42+$AD$42*$AC$42</f>
        <v>28125</v>
      </c>
      <c r="N205" s="47">
        <f t="shared" si="436"/>
        <v>31750</v>
      </c>
      <c r="O205" s="39">
        <f>$AD$42-$AB$42+$AD$42*$AC$42</f>
        <v>28125</v>
      </c>
      <c r="P205" s="47">
        <f t="shared" si="436"/>
        <v>31750</v>
      </c>
      <c r="Q205" s="39">
        <f>$AD$42-$AB$42+$AD$42*$AC$42</f>
        <v>28125</v>
      </c>
      <c r="R205" s="47">
        <f t="shared" si="436"/>
        <v>31750</v>
      </c>
      <c r="S205" s="39">
        <f>($AD$42-$AB$42+$AD$42*$AC$42)*1.1</f>
        <v>30937.500000000004</v>
      </c>
      <c r="T205" s="47">
        <f t="shared" si="436"/>
        <v>31750</v>
      </c>
      <c r="U205" s="28">
        <f t="shared" si="403"/>
        <v>430312.5</v>
      </c>
      <c r="V205" s="28">
        <f t="shared" si="404"/>
        <v>442000</v>
      </c>
      <c r="W205" s="28"/>
      <c r="X205" s="42">
        <v>50000</v>
      </c>
      <c r="Y205" s="41"/>
    </row>
    <row r="206" spans="1:25" x14ac:dyDescent="0.25">
      <c r="A206">
        <v>43</v>
      </c>
      <c r="B206" s="16" t="s">
        <v>146</v>
      </c>
      <c r="C206" s="8">
        <v>10</v>
      </c>
      <c r="D206" s="9" t="s">
        <v>40</v>
      </c>
      <c r="E206" s="27">
        <v>25750</v>
      </c>
      <c r="F206" s="27">
        <v>98750</v>
      </c>
      <c r="G206" s="27">
        <f t="shared" ref="G206:T206" si="437">$AE$5+$AC$5*$AG$5+$AI$5</f>
        <v>31750</v>
      </c>
      <c r="H206" s="27">
        <f t="shared" si="437"/>
        <v>31750</v>
      </c>
      <c r="I206" s="27">
        <f t="shared" si="437"/>
        <v>31750</v>
      </c>
      <c r="J206" s="27">
        <f t="shared" si="437"/>
        <v>31750</v>
      </c>
      <c r="K206" s="27">
        <f t="shared" si="437"/>
        <v>31750</v>
      </c>
      <c r="L206" s="27">
        <f t="shared" si="437"/>
        <v>31750</v>
      </c>
      <c r="M206" s="39">
        <f>$AC$32</f>
        <v>80000</v>
      </c>
      <c r="N206" s="47">
        <f t="shared" si="437"/>
        <v>31750</v>
      </c>
      <c r="O206" s="39">
        <f>$AC$32</f>
        <v>80000</v>
      </c>
      <c r="P206" s="47">
        <f t="shared" si="437"/>
        <v>31750</v>
      </c>
      <c r="Q206" s="39">
        <f>$AC$32</f>
        <v>80000</v>
      </c>
      <c r="R206" s="47">
        <f t="shared" si="437"/>
        <v>31750</v>
      </c>
      <c r="S206" s="39">
        <f>$AC$32</f>
        <v>80000</v>
      </c>
      <c r="T206" s="47">
        <f t="shared" si="437"/>
        <v>31750</v>
      </c>
      <c r="U206" s="28">
        <f t="shared" si="403"/>
        <v>635000</v>
      </c>
      <c r="V206" s="28">
        <f t="shared" si="404"/>
        <v>442000</v>
      </c>
      <c r="W206" s="28"/>
      <c r="X206" s="42">
        <v>50000</v>
      </c>
      <c r="Y206" s="41"/>
    </row>
    <row r="207" spans="1:25" x14ac:dyDescent="0.25">
      <c r="A207">
        <v>44</v>
      </c>
      <c r="B207" s="32" t="s">
        <v>152</v>
      </c>
      <c r="C207" s="8">
        <v>8</v>
      </c>
      <c r="D207" s="9" t="s">
        <v>156</v>
      </c>
      <c r="E207" s="27">
        <v>0</v>
      </c>
      <c r="F207" s="27">
        <v>0</v>
      </c>
      <c r="G207" s="27">
        <v>0</v>
      </c>
      <c r="H207" s="27">
        <v>0</v>
      </c>
      <c r="I207" s="27">
        <v>15000</v>
      </c>
      <c r="J207" s="27">
        <v>30000</v>
      </c>
      <c r="K207" s="27">
        <v>30000</v>
      </c>
      <c r="L207" s="27">
        <v>30000</v>
      </c>
      <c r="M207" s="39">
        <f>$AC$51</f>
        <v>30000</v>
      </c>
      <c r="N207" s="47">
        <v>30000</v>
      </c>
      <c r="O207" s="39">
        <f>$AC$51</f>
        <v>30000</v>
      </c>
      <c r="P207" s="47">
        <v>30000</v>
      </c>
      <c r="Q207" s="39">
        <f>$AC$51</f>
        <v>30000</v>
      </c>
      <c r="R207" s="47">
        <v>30000</v>
      </c>
      <c r="S207" s="39">
        <f>$AC$51</f>
        <v>30000</v>
      </c>
      <c r="T207" s="47">
        <v>30000</v>
      </c>
      <c r="U207" s="28">
        <f t="shared" si="403"/>
        <v>225000</v>
      </c>
      <c r="V207" s="28">
        <f t="shared" si="404"/>
        <v>225000</v>
      </c>
      <c r="W207" s="28"/>
      <c r="X207" s="42">
        <v>100000</v>
      </c>
      <c r="Y207" s="41"/>
    </row>
    <row r="208" spans="1:25" x14ac:dyDescent="0.25">
      <c r="A208">
        <v>45</v>
      </c>
      <c r="B208" s="16" t="s">
        <v>139</v>
      </c>
      <c r="C208" s="8">
        <v>10</v>
      </c>
      <c r="D208" s="9"/>
      <c r="E208" s="27">
        <v>0</v>
      </c>
      <c r="F208" s="27">
        <v>0</v>
      </c>
      <c r="G208" s="27">
        <f>$AE$18+$AC$18*$AG$18+$AI$18</f>
        <v>31750</v>
      </c>
      <c r="H208" s="27">
        <f t="shared" ref="H208:T217" si="438">$AE$18+$AC$18*$AG$18+$AI$18</f>
        <v>31750</v>
      </c>
      <c r="I208" s="27">
        <f t="shared" si="438"/>
        <v>31750</v>
      </c>
      <c r="J208" s="27">
        <f t="shared" si="438"/>
        <v>31750</v>
      </c>
      <c r="K208" s="27">
        <f t="shared" si="438"/>
        <v>31750</v>
      </c>
      <c r="L208" s="27">
        <f t="shared" si="438"/>
        <v>31750</v>
      </c>
      <c r="M208" s="39">
        <f>$AC$45</f>
        <v>80000</v>
      </c>
      <c r="N208" s="47">
        <f t="shared" si="438"/>
        <v>31750</v>
      </c>
      <c r="O208" s="39">
        <f>$AC$45</f>
        <v>80000</v>
      </c>
      <c r="P208" s="47">
        <f t="shared" si="438"/>
        <v>31750</v>
      </c>
      <c r="Q208" s="39">
        <f>$AC$45</f>
        <v>80000</v>
      </c>
      <c r="R208" s="47">
        <f t="shared" si="438"/>
        <v>31750</v>
      </c>
      <c r="S208" s="39">
        <f>$AC$45</f>
        <v>80000</v>
      </c>
      <c r="T208" s="47">
        <f t="shared" si="438"/>
        <v>31750</v>
      </c>
      <c r="U208" s="28">
        <f t="shared" si="403"/>
        <v>510500</v>
      </c>
      <c r="V208" s="28">
        <f t="shared" si="404"/>
        <v>317500</v>
      </c>
      <c r="W208" s="28"/>
      <c r="X208" s="42">
        <v>50000</v>
      </c>
      <c r="Y208" s="41"/>
    </row>
    <row r="209" spans="1:25" x14ac:dyDescent="0.25">
      <c r="A209">
        <v>46</v>
      </c>
      <c r="B209" s="16" t="s">
        <v>139</v>
      </c>
      <c r="C209" s="8">
        <v>10</v>
      </c>
      <c r="D209" s="11"/>
      <c r="E209" s="27">
        <v>0</v>
      </c>
      <c r="F209" s="27">
        <v>0</v>
      </c>
      <c r="G209" s="27">
        <f t="shared" ref="G209:G215" si="439">$AE$18+$AC$18*$AG$18+$AI$18</f>
        <v>31750</v>
      </c>
      <c r="H209" s="27">
        <f t="shared" si="438"/>
        <v>31750</v>
      </c>
      <c r="I209" s="27">
        <f t="shared" si="438"/>
        <v>31750</v>
      </c>
      <c r="J209" s="27">
        <f t="shared" si="438"/>
        <v>31750</v>
      </c>
      <c r="K209" s="27">
        <f t="shared" si="438"/>
        <v>31750</v>
      </c>
      <c r="L209" s="27">
        <f t="shared" si="438"/>
        <v>31750</v>
      </c>
      <c r="M209" s="39">
        <f>$AC$45</f>
        <v>80000</v>
      </c>
      <c r="N209" s="47">
        <f t="shared" si="438"/>
        <v>31750</v>
      </c>
      <c r="O209" s="39">
        <f>$AC$45</f>
        <v>80000</v>
      </c>
      <c r="P209" s="47">
        <f t="shared" si="438"/>
        <v>31750</v>
      </c>
      <c r="Q209" s="39">
        <f>$AC$45</f>
        <v>80000</v>
      </c>
      <c r="R209" s="47">
        <f t="shared" si="438"/>
        <v>31750</v>
      </c>
      <c r="S209" s="39">
        <f>$AC$45</f>
        <v>80000</v>
      </c>
      <c r="T209" s="47">
        <f t="shared" si="438"/>
        <v>31750</v>
      </c>
      <c r="U209" s="28">
        <f t="shared" si="403"/>
        <v>510500</v>
      </c>
      <c r="V209" s="28">
        <f t="shared" si="404"/>
        <v>317500</v>
      </c>
      <c r="W209" s="28"/>
      <c r="X209" s="42">
        <v>50000</v>
      </c>
      <c r="Y209" s="41"/>
    </row>
    <row r="210" spans="1:25" x14ac:dyDescent="0.25">
      <c r="A210">
        <v>47</v>
      </c>
      <c r="B210" s="16" t="s">
        <v>139</v>
      </c>
      <c r="C210" s="8">
        <v>10</v>
      </c>
      <c r="D210" s="11"/>
      <c r="E210" s="27">
        <v>0</v>
      </c>
      <c r="F210" s="27">
        <v>0</v>
      </c>
      <c r="G210" s="27">
        <f t="shared" si="439"/>
        <v>31750</v>
      </c>
      <c r="H210" s="27">
        <f t="shared" si="438"/>
        <v>31750</v>
      </c>
      <c r="I210" s="27">
        <f t="shared" si="438"/>
        <v>31750</v>
      </c>
      <c r="J210" s="27">
        <f t="shared" si="438"/>
        <v>31750</v>
      </c>
      <c r="K210" s="27">
        <f t="shared" si="438"/>
        <v>31750</v>
      </c>
      <c r="L210" s="27">
        <f t="shared" si="438"/>
        <v>31750</v>
      </c>
      <c r="M210" s="39">
        <f>$AC$45</f>
        <v>80000</v>
      </c>
      <c r="N210" s="47">
        <f t="shared" si="438"/>
        <v>31750</v>
      </c>
      <c r="O210" s="39">
        <f>$AC$45</f>
        <v>80000</v>
      </c>
      <c r="P210" s="47">
        <f t="shared" si="438"/>
        <v>31750</v>
      </c>
      <c r="Q210" s="39">
        <f>$AC$45</f>
        <v>80000</v>
      </c>
      <c r="R210" s="47">
        <f t="shared" si="438"/>
        <v>31750</v>
      </c>
      <c r="S210" s="39">
        <f>$AC$45</f>
        <v>80000</v>
      </c>
      <c r="T210" s="47">
        <f t="shared" si="438"/>
        <v>31750</v>
      </c>
      <c r="U210" s="28">
        <f t="shared" si="403"/>
        <v>510500</v>
      </c>
      <c r="V210" s="28">
        <f t="shared" si="404"/>
        <v>317500</v>
      </c>
      <c r="W210" s="28"/>
      <c r="X210" s="42">
        <v>50000</v>
      </c>
      <c r="Y210" s="41"/>
    </row>
    <row r="211" spans="1:25" x14ac:dyDescent="0.25">
      <c r="A211">
        <v>48</v>
      </c>
      <c r="B211" s="16" t="s">
        <v>139</v>
      </c>
      <c r="C211" s="8">
        <v>10</v>
      </c>
      <c r="D211" s="11"/>
      <c r="E211" s="27">
        <v>0</v>
      </c>
      <c r="F211" s="27">
        <v>0</v>
      </c>
      <c r="G211" s="27">
        <f t="shared" si="439"/>
        <v>31750</v>
      </c>
      <c r="H211" s="27">
        <f t="shared" si="438"/>
        <v>31750</v>
      </c>
      <c r="I211" s="27">
        <f t="shared" si="438"/>
        <v>31750</v>
      </c>
      <c r="J211" s="27">
        <f t="shared" si="438"/>
        <v>31750</v>
      </c>
      <c r="K211" s="27">
        <f t="shared" si="438"/>
        <v>31750</v>
      </c>
      <c r="L211" s="27">
        <f t="shared" si="438"/>
        <v>31750</v>
      </c>
      <c r="M211" s="39">
        <v>0</v>
      </c>
      <c r="N211" s="47">
        <f t="shared" si="438"/>
        <v>31750</v>
      </c>
      <c r="O211" s="39">
        <v>0</v>
      </c>
      <c r="P211" s="47">
        <f t="shared" si="438"/>
        <v>31750</v>
      </c>
      <c r="Q211" s="39">
        <v>0</v>
      </c>
      <c r="R211" s="47">
        <f t="shared" si="438"/>
        <v>31750</v>
      </c>
      <c r="S211" s="39">
        <v>0</v>
      </c>
      <c r="T211" s="47">
        <f t="shared" si="438"/>
        <v>31750</v>
      </c>
      <c r="U211" s="28">
        <f t="shared" si="403"/>
        <v>190500</v>
      </c>
      <c r="V211" s="28">
        <f t="shared" si="404"/>
        <v>317500</v>
      </c>
      <c r="W211" s="28"/>
      <c r="X211" s="42">
        <v>50000</v>
      </c>
      <c r="Y211" s="41"/>
    </row>
    <row r="212" spans="1:25" x14ac:dyDescent="0.25">
      <c r="A212">
        <v>49</v>
      </c>
      <c r="B212" s="16" t="s">
        <v>139</v>
      </c>
      <c r="C212" s="8">
        <v>10</v>
      </c>
      <c r="D212" s="11"/>
      <c r="E212" s="27">
        <v>0</v>
      </c>
      <c r="F212" s="27">
        <v>0</v>
      </c>
      <c r="G212" s="27">
        <f t="shared" si="439"/>
        <v>31750</v>
      </c>
      <c r="H212" s="27">
        <f t="shared" si="438"/>
        <v>31750</v>
      </c>
      <c r="I212" s="27">
        <f t="shared" si="438"/>
        <v>31750</v>
      </c>
      <c r="J212" s="27">
        <f t="shared" si="438"/>
        <v>31750</v>
      </c>
      <c r="K212" s="27">
        <f t="shared" si="438"/>
        <v>31750</v>
      </c>
      <c r="L212" s="27">
        <f t="shared" si="438"/>
        <v>31750</v>
      </c>
      <c r="M212" s="39">
        <v>0</v>
      </c>
      <c r="N212" s="47">
        <f t="shared" si="438"/>
        <v>31750</v>
      </c>
      <c r="O212" s="39">
        <v>0</v>
      </c>
      <c r="P212" s="47">
        <f t="shared" si="438"/>
        <v>31750</v>
      </c>
      <c r="Q212" s="39">
        <v>0</v>
      </c>
      <c r="R212" s="47">
        <f t="shared" si="438"/>
        <v>31750</v>
      </c>
      <c r="S212" s="39">
        <v>0</v>
      </c>
      <c r="T212" s="47">
        <f t="shared" si="438"/>
        <v>31750</v>
      </c>
      <c r="U212" s="28">
        <f t="shared" si="403"/>
        <v>190500</v>
      </c>
      <c r="V212" s="28">
        <f t="shared" si="404"/>
        <v>317500</v>
      </c>
      <c r="W212" s="28"/>
      <c r="X212" s="42">
        <v>50000</v>
      </c>
      <c r="Y212" s="41"/>
    </row>
    <row r="213" spans="1:25" x14ac:dyDescent="0.25">
      <c r="A213">
        <v>50</v>
      </c>
      <c r="B213" s="16" t="s">
        <v>139</v>
      </c>
      <c r="C213" s="8">
        <v>10</v>
      </c>
      <c r="D213" s="11"/>
      <c r="E213" s="27">
        <v>0</v>
      </c>
      <c r="F213" s="27">
        <v>0</v>
      </c>
      <c r="G213" s="27">
        <f t="shared" si="439"/>
        <v>31750</v>
      </c>
      <c r="H213" s="27">
        <f t="shared" si="438"/>
        <v>31750</v>
      </c>
      <c r="I213" s="27">
        <f t="shared" si="438"/>
        <v>31750</v>
      </c>
      <c r="J213" s="27">
        <f t="shared" si="438"/>
        <v>31750</v>
      </c>
      <c r="K213" s="27">
        <f t="shared" si="438"/>
        <v>31750</v>
      </c>
      <c r="L213" s="27">
        <f t="shared" si="438"/>
        <v>31750</v>
      </c>
      <c r="M213" s="39">
        <v>0</v>
      </c>
      <c r="N213" s="47">
        <f t="shared" si="438"/>
        <v>31750</v>
      </c>
      <c r="O213" s="39">
        <v>0</v>
      </c>
      <c r="P213" s="47">
        <f t="shared" si="438"/>
        <v>31750</v>
      </c>
      <c r="Q213" s="39">
        <v>0</v>
      </c>
      <c r="R213" s="47">
        <f t="shared" si="438"/>
        <v>31750</v>
      </c>
      <c r="S213" s="39">
        <v>0</v>
      </c>
      <c r="T213" s="47">
        <f t="shared" si="438"/>
        <v>31750</v>
      </c>
      <c r="U213" s="28">
        <f t="shared" si="403"/>
        <v>190500</v>
      </c>
      <c r="V213" s="28">
        <f t="shared" si="404"/>
        <v>317500</v>
      </c>
      <c r="W213" s="28"/>
      <c r="X213" s="42">
        <v>50000</v>
      </c>
      <c r="Y213" s="41"/>
    </row>
    <row r="214" spans="1:25" x14ac:dyDescent="0.25">
      <c r="A214">
        <v>51</v>
      </c>
      <c r="B214" s="16" t="s">
        <v>139</v>
      </c>
      <c r="C214" s="8">
        <v>10</v>
      </c>
      <c r="D214" s="11"/>
      <c r="E214" s="27">
        <v>0</v>
      </c>
      <c r="F214" s="27">
        <v>0</v>
      </c>
      <c r="G214" s="27">
        <f t="shared" si="439"/>
        <v>31750</v>
      </c>
      <c r="H214" s="27">
        <f t="shared" si="438"/>
        <v>31750</v>
      </c>
      <c r="I214" s="27">
        <f t="shared" si="438"/>
        <v>31750</v>
      </c>
      <c r="J214" s="27">
        <f t="shared" si="438"/>
        <v>31750</v>
      </c>
      <c r="K214" s="27">
        <f t="shared" si="438"/>
        <v>31750</v>
      </c>
      <c r="L214" s="27">
        <f t="shared" si="438"/>
        <v>31750</v>
      </c>
      <c r="M214" s="39">
        <v>0</v>
      </c>
      <c r="N214" s="47">
        <f t="shared" si="438"/>
        <v>31750</v>
      </c>
      <c r="O214" s="39">
        <v>0</v>
      </c>
      <c r="P214" s="47">
        <f t="shared" si="438"/>
        <v>31750</v>
      </c>
      <c r="Q214" s="39">
        <v>0</v>
      </c>
      <c r="R214" s="47">
        <f t="shared" si="438"/>
        <v>31750</v>
      </c>
      <c r="S214" s="39">
        <v>0</v>
      </c>
      <c r="T214" s="47">
        <f t="shared" si="438"/>
        <v>31750</v>
      </c>
      <c r="U214" s="28">
        <f t="shared" si="403"/>
        <v>190500</v>
      </c>
      <c r="V214" s="28">
        <f t="shared" si="404"/>
        <v>317500</v>
      </c>
      <c r="W214" s="28"/>
      <c r="X214" s="42">
        <v>50000</v>
      </c>
      <c r="Y214" s="41"/>
    </row>
    <row r="215" spans="1:25" x14ac:dyDescent="0.25">
      <c r="A215">
        <v>52</v>
      </c>
      <c r="B215" s="16" t="s">
        <v>139</v>
      </c>
      <c r="C215" s="8">
        <v>10</v>
      </c>
      <c r="D215" s="11"/>
      <c r="E215" s="27">
        <v>0</v>
      </c>
      <c r="F215" s="27">
        <v>0</v>
      </c>
      <c r="G215" s="27">
        <f t="shared" si="439"/>
        <v>31750</v>
      </c>
      <c r="H215" s="27">
        <f t="shared" si="438"/>
        <v>31750</v>
      </c>
      <c r="I215" s="27">
        <f t="shared" si="438"/>
        <v>31750</v>
      </c>
      <c r="J215" s="27">
        <f t="shared" si="438"/>
        <v>31750</v>
      </c>
      <c r="K215" s="27">
        <f t="shared" si="438"/>
        <v>31750</v>
      </c>
      <c r="L215" s="27">
        <f t="shared" si="438"/>
        <v>31750</v>
      </c>
      <c r="M215" s="39">
        <v>0</v>
      </c>
      <c r="N215" s="47">
        <f t="shared" si="438"/>
        <v>31750</v>
      </c>
      <c r="O215" s="39">
        <v>0</v>
      </c>
      <c r="P215" s="47">
        <f t="shared" si="438"/>
        <v>31750</v>
      </c>
      <c r="Q215" s="39">
        <v>0</v>
      </c>
      <c r="R215" s="47">
        <f t="shared" si="438"/>
        <v>31750</v>
      </c>
      <c r="S215" s="39">
        <v>0</v>
      </c>
      <c r="T215" s="47">
        <f t="shared" si="438"/>
        <v>31750</v>
      </c>
      <c r="U215" s="28">
        <f t="shared" si="403"/>
        <v>190500</v>
      </c>
      <c r="V215" s="28">
        <f t="shared" si="404"/>
        <v>317500</v>
      </c>
      <c r="W215" s="28"/>
      <c r="X215" s="42">
        <v>50000</v>
      </c>
      <c r="Y215" s="41"/>
    </row>
    <row r="216" spans="1:25" x14ac:dyDescent="0.25">
      <c r="A216">
        <v>53</v>
      </c>
      <c r="B216" s="16" t="s">
        <v>139</v>
      </c>
      <c r="C216" s="8">
        <v>10</v>
      </c>
      <c r="D216" s="11"/>
      <c r="E216" s="27">
        <v>0</v>
      </c>
      <c r="F216" s="27">
        <v>0</v>
      </c>
      <c r="G216" s="27"/>
      <c r="H216" s="27"/>
      <c r="I216" s="27"/>
      <c r="J216" s="27"/>
      <c r="K216" s="27"/>
      <c r="L216" s="27"/>
      <c r="M216" s="39">
        <v>0</v>
      </c>
      <c r="N216" s="47">
        <f t="shared" si="438"/>
        <v>31750</v>
      </c>
      <c r="O216" s="39">
        <v>0</v>
      </c>
      <c r="P216" s="47">
        <f t="shared" si="438"/>
        <v>31750</v>
      </c>
      <c r="Q216" s="39">
        <v>0</v>
      </c>
      <c r="R216" s="47">
        <f t="shared" si="438"/>
        <v>31750</v>
      </c>
      <c r="S216" s="39">
        <v>0</v>
      </c>
      <c r="T216" s="47">
        <f t="shared" si="438"/>
        <v>31750</v>
      </c>
      <c r="U216" s="28">
        <f t="shared" si="403"/>
        <v>0</v>
      </c>
      <c r="V216" s="28">
        <f t="shared" si="404"/>
        <v>127000</v>
      </c>
      <c r="W216" s="28"/>
      <c r="X216" s="42">
        <v>50000</v>
      </c>
      <c r="Y216" s="41"/>
    </row>
    <row r="217" spans="1:25" x14ac:dyDescent="0.25">
      <c r="A217">
        <v>54</v>
      </c>
      <c r="B217" s="16" t="s">
        <v>139</v>
      </c>
      <c r="C217" s="8">
        <v>10</v>
      </c>
      <c r="D217" s="11"/>
      <c r="E217" s="27">
        <v>0</v>
      </c>
      <c r="F217" s="27">
        <v>0</v>
      </c>
      <c r="G217" s="27"/>
      <c r="H217" s="27"/>
      <c r="I217" s="27"/>
      <c r="J217" s="27"/>
      <c r="K217" s="27"/>
      <c r="L217" s="27"/>
      <c r="M217" s="39">
        <v>0</v>
      </c>
      <c r="N217" s="47">
        <f t="shared" si="438"/>
        <v>31750</v>
      </c>
      <c r="O217" s="39">
        <v>0</v>
      </c>
      <c r="P217" s="47">
        <f t="shared" si="438"/>
        <v>31750</v>
      </c>
      <c r="Q217" s="39">
        <v>0</v>
      </c>
      <c r="R217" s="47">
        <f t="shared" si="438"/>
        <v>31750</v>
      </c>
      <c r="S217" s="39">
        <v>0</v>
      </c>
      <c r="T217" s="47">
        <f t="shared" si="438"/>
        <v>31750</v>
      </c>
      <c r="U217" s="28">
        <f t="shared" si="403"/>
        <v>0</v>
      </c>
      <c r="V217" s="28">
        <f t="shared" si="404"/>
        <v>127000</v>
      </c>
      <c r="W217" s="28"/>
      <c r="X217" s="42">
        <v>50000</v>
      </c>
      <c r="Y217" s="41"/>
    </row>
    <row r="218" spans="1:25" x14ac:dyDescent="0.25">
      <c r="A218" s="8">
        <v>55</v>
      </c>
      <c r="B218" s="15" t="s">
        <v>140</v>
      </c>
      <c r="C218" s="8">
        <v>10</v>
      </c>
      <c r="D218" s="11"/>
      <c r="E218" s="27">
        <v>0</v>
      </c>
      <c r="F218" s="27">
        <v>0</v>
      </c>
      <c r="G218" s="35">
        <f>$AE$19+$AC$19*$AG$19+$AI$19</f>
        <v>31750</v>
      </c>
      <c r="H218" s="35">
        <f t="shared" ref="H218:T220" si="440">$AE$19+$AC$19*$AG$19+$AI$19</f>
        <v>31750</v>
      </c>
      <c r="I218" s="35">
        <f t="shared" si="440"/>
        <v>31750</v>
      </c>
      <c r="J218" s="35">
        <f t="shared" si="440"/>
        <v>31750</v>
      </c>
      <c r="K218" s="35">
        <f t="shared" si="440"/>
        <v>31750</v>
      </c>
      <c r="L218" s="35">
        <f t="shared" si="440"/>
        <v>31750</v>
      </c>
      <c r="M218" s="39">
        <f>$AD$46-$AB$46+$AD$46*$AC$46</f>
        <v>28125</v>
      </c>
      <c r="N218" s="48">
        <f t="shared" si="440"/>
        <v>31750</v>
      </c>
      <c r="O218" s="39">
        <f>$AD$46-$AB$46+$AD$46*$AC$46</f>
        <v>28125</v>
      </c>
      <c r="P218" s="48">
        <f t="shared" si="440"/>
        <v>31750</v>
      </c>
      <c r="Q218" s="39">
        <f>$AD$46-$AB$46+$AD$46*$AC$46</f>
        <v>28125</v>
      </c>
      <c r="R218" s="48">
        <f t="shared" si="440"/>
        <v>31750</v>
      </c>
      <c r="S218" s="39">
        <f>($AD$46-$AB$46+$AD$46*$AC$46)*1.1</f>
        <v>30937.500000000004</v>
      </c>
      <c r="T218" s="48">
        <f t="shared" si="440"/>
        <v>31750</v>
      </c>
      <c r="U218" s="28">
        <f t="shared" si="403"/>
        <v>305812.5</v>
      </c>
      <c r="V218" s="28">
        <f t="shared" si="404"/>
        <v>317500</v>
      </c>
      <c r="W218" s="28"/>
      <c r="X218" s="42">
        <v>50000</v>
      </c>
      <c r="Y218" s="41"/>
    </row>
    <row r="219" spans="1:25" x14ac:dyDescent="0.25">
      <c r="A219" s="8">
        <v>56</v>
      </c>
      <c r="B219" s="15" t="s">
        <v>140</v>
      </c>
      <c r="C219" s="8">
        <v>10</v>
      </c>
      <c r="D219" s="11"/>
      <c r="E219" s="27">
        <v>0</v>
      </c>
      <c r="F219" s="27">
        <v>0</v>
      </c>
      <c r="G219" s="35">
        <f t="shared" ref="G219:G220" si="441">$AE$19+$AC$19*$AG$19+$AI$19</f>
        <v>31750</v>
      </c>
      <c r="H219" s="35">
        <f t="shared" si="440"/>
        <v>31750</v>
      </c>
      <c r="I219" s="35">
        <f t="shared" si="440"/>
        <v>31750</v>
      </c>
      <c r="J219" s="35">
        <f t="shared" si="440"/>
        <v>31750</v>
      </c>
      <c r="K219" s="35">
        <f t="shared" si="440"/>
        <v>31750</v>
      </c>
      <c r="L219" s="35">
        <f t="shared" si="440"/>
        <v>31750</v>
      </c>
      <c r="M219" s="39">
        <f>$AD$46-$AB$46+$AD$46*$AC$46</f>
        <v>28125</v>
      </c>
      <c r="N219" s="48">
        <f t="shared" si="440"/>
        <v>31750</v>
      </c>
      <c r="O219" s="39">
        <f>$AD$46-$AB$46+$AD$46*$AC$46</f>
        <v>28125</v>
      </c>
      <c r="P219" s="48">
        <f t="shared" si="440"/>
        <v>31750</v>
      </c>
      <c r="Q219" s="39">
        <f>$AD$46-$AB$46+$AD$46*$AC$46</f>
        <v>28125</v>
      </c>
      <c r="R219" s="48">
        <f t="shared" si="440"/>
        <v>31750</v>
      </c>
      <c r="S219" s="39">
        <f>($AD$46-$AB$46+$AD$46*$AC$46)*1.1</f>
        <v>30937.500000000004</v>
      </c>
      <c r="T219" s="48">
        <f t="shared" si="440"/>
        <v>31750</v>
      </c>
      <c r="U219" s="28">
        <f t="shared" si="403"/>
        <v>305812.5</v>
      </c>
      <c r="V219" s="28">
        <f t="shared" si="404"/>
        <v>317500</v>
      </c>
      <c r="W219" s="28"/>
      <c r="X219" s="42">
        <v>50000</v>
      </c>
      <c r="Y219" s="41"/>
    </row>
    <row r="220" spans="1:25" x14ac:dyDescent="0.25">
      <c r="A220" s="8">
        <v>57</v>
      </c>
      <c r="B220" s="15" t="s">
        <v>140</v>
      </c>
      <c r="C220" s="8">
        <v>10</v>
      </c>
      <c r="D220" s="11"/>
      <c r="E220" s="27">
        <v>0</v>
      </c>
      <c r="F220" s="27">
        <v>0</v>
      </c>
      <c r="G220" s="35">
        <f t="shared" si="441"/>
        <v>31750</v>
      </c>
      <c r="H220" s="35">
        <f t="shared" si="440"/>
        <v>31750</v>
      </c>
      <c r="I220" s="35">
        <f t="shared" si="440"/>
        <v>31750</v>
      </c>
      <c r="J220" s="35">
        <f t="shared" si="440"/>
        <v>31750</v>
      </c>
      <c r="K220" s="35">
        <f t="shared" si="440"/>
        <v>31750</v>
      </c>
      <c r="L220" s="35">
        <f t="shared" si="440"/>
        <v>31750</v>
      </c>
      <c r="M220" s="39">
        <f>$AD$46-$AB$46+$AD$46*$AC$46</f>
        <v>28125</v>
      </c>
      <c r="N220" s="48">
        <f t="shared" si="440"/>
        <v>31750</v>
      </c>
      <c r="O220" s="39">
        <f>$AD$46-$AB$46+$AD$46*$AC$46</f>
        <v>28125</v>
      </c>
      <c r="P220" s="48">
        <f t="shared" si="440"/>
        <v>31750</v>
      </c>
      <c r="Q220" s="39">
        <f>$AD$46-$AB$46+$AD$46*$AC$46</f>
        <v>28125</v>
      </c>
      <c r="R220" s="48">
        <f t="shared" si="440"/>
        <v>31750</v>
      </c>
      <c r="S220" s="39">
        <f>($AD$46-$AB$46+$AD$46*$AC$46)*1.1</f>
        <v>30937.500000000004</v>
      </c>
      <c r="T220" s="48">
        <f t="shared" si="440"/>
        <v>31750</v>
      </c>
      <c r="U220" s="28">
        <f t="shared" si="403"/>
        <v>305812.5</v>
      </c>
      <c r="V220" s="28">
        <f t="shared" si="404"/>
        <v>317500</v>
      </c>
      <c r="W220" s="28"/>
      <c r="X220" s="42">
        <v>50000</v>
      </c>
      <c r="Y220" s="41"/>
    </row>
    <row r="221" spans="1:25" x14ac:dyDescent="0.25">
      <c r="A221" s="8">
        <v>58</v>
      </c>
      <c r="B221" s="24" t="s">
        <v>141</v>
      </c>
      <c r="C221" s="8">
        <v>10</v>
      </c>
      <c r="D221" s="11"/>
      <c r="E221" s="27">
        <v>0</v>
      </c>
      <c r="F221" s="27">
        <v>0</v>
      </c>
      <c r="G221" s="27"/>
      <c r="H221" s="27"/>
      <c r="I221" s="27"/>
      <c r="J221" s="27"/>
      <c r="K221" s="27"/>
      <c r="L221" s="27"/>
      <c r="M221" s="39"/>
      <c r="N221" s="47">
        <f t="shared" ref="N221:T223" si="442">$AE$17</f>
        <v>16250</v>
      </c>
      <c r="O221" s="39"/>
      <c r="P221" s="47">
        <f t="shared" si="442"/>
        <v>16250</v>
      </c>
      <c r="Q221" s="39"/>
      <c r="R221" s="47">
        <f t="shared" si="442"/>
        <v>16250</v>
      </c>
      <c r="S221" s="39"/>
      <c r="T221" s="47">
        <f t="shared" si="442"/>
        <v>16250</v>
      </c>
      <c r="U221" s="28">
        <f t="shared" si="403"/>
        <v>0</v>
      </c>
      <c r="V221" s="28">
        <f t="shared" si="404"/>
        <v>65000</v>
      </c>
      <c r="W221" s="28"/>
      <c r="X221" s="42">
        <v>50000</v>
      </c>
      <c r="Y221" s="41"/>
    </row>
    <row r="222" spans="1:25" x14ac:dyDescent="0.25">
      <c r="A222" s="8">
        <v>59</v>
      </c>
      <c r="B222" s="24" t="s">
        <v>141</v>
      </c>
      <c r="C222" s="8">
        <v>10</v>
      </c>
      <c r="D222" s="11"/>
      <c r="E222" s="27">
        <v>0</v>
      </c>
      <c r="F222" s="27">
        <v>0</v>
      </c>
      <c r="G222" s="27"/>
      <c r="H222" s="27"/>
      <c r="I222" s="27"/>
      <c r="J222" s="27"/>
      <c r="K222" s="27"/>
      <c r="L222" s="27"/>
      <c r="M222" s="39"/>
      <c r="N222" s="47">
        <f t="shared" si="442"/>
        <v>16250</v>
      </c>
      <c r="O222" s="39"/>
      <c r="P222" s="47">
        <f t="shared" si="442"/>
        <v>16250</v>
      </c>
      <c r="Q222" s="39"/>
      <c r="R222" s="47">
        <f t="shared" si="442"/>
        <v>16250</v>
      </c>
      <c r="S222" s="39"/>
      <c r="T222" s="47">
        <f t="shared" si="442"/>
        <v>16250</v>
      </c>
      <c r="U222" s="28">
        <f t="shared" si="403"/>
        <v>0</v>
      </c>
      <c r="V222" s="28">
        <f t="shared" si="404"/>
        <v>65000</v>
      </c>
      <c r="W222" s="28"/>
      <c r="X222" s="42">
        <v>50000</v>
      </c>
      <c r="Y222" s="41"/>
    </row>
    <row r="223" spans="1:25" x14ac:dyDescent="0.25">
      <c r="A223" s="8">
        <v>60</v>
      </c>
      <c r="B223" s="24" t="s">
        <v>141</v>
      </c>
      <c r="C223" s="8">
        <v>10</v>
      </c>
      <c r="D223" s="5"/>
      <c r="E223" s="27">
        <v>0</v>
      </c>
      <c r="F223" s="27">
        <v>0</v>
      </c>
      <c r="G223" s="27"/>
      <c r="H223" s="27"/>
      <c r="I223" s="27"/>
      <c r="J223" s="27"/>
      <c r="K223" s="27"/>
      <c r="L223" s="27"/>
      <c r="M223" s="39"/>
      <c r="N223" s="47">
        <f t="shared" si="442"/>
        <v>16250</v>
      </c>
      <c r="O223" s="39"/>
      <c r="P223" s="47">
        <f t="shared" si="442"/>
        <v>16250</v>
      </c>
      <c r="Q223" s="39"/>
      <c r="R223" s="47">
        <f t="shared" si="442"/>
        <v>16250</v>
      </c>
      <c r="S223" s="39"/>
      <c r="T223" s="47">
        <f t="shared" si="442"/>
        <v>16250</v>
      </c>
      <c r="U223" s="28">
        <f t="shared" si="403"/>
        <v>0</v>
      </c>
      <c r="V223" s="28">
        <f t="shared" si="404"/>
        <v>65000</v>
      </c>
      <c r="W223" s="28"/>
      <c r="X223" s="42">
        <v>50000</v>
      </c>
      <c r="Y223" s="41"/>
    </row>
    <row r="224" spans="1:25" x14ac:dyDescent="0.25">
      <c r="A224" s="8">
        <v>61</v>
      </c>
      <c r="B224" s="8" t="s">
        <v>138</v>
      </c>
      <c r="C224" s="8">
        <v>10</v>
      </c>
      <c r="D224" s="5"/>
      <c r="E224" s="27">
        <v>0</v>
      </c>
      <c r="F224" s="27">
        <v>0</v>
      </c>
      <c r="G224" s="27">
        <f t="shared" ref="G224:T226" si="443">$AI$4</f>
        <v>17500</v>
      </c>
      <c r="H224" s="27">
        <f t="shared" si="443"/>
        <v>17500</v>
      </c>
      <c r="I224" s="27">
        <f t="shared" si="443"/>
        <v>17500</v>
      </c>
      <c r="J224" s="27">
        <f t="shared" si="443"/>
        <v>17500</v>
      </c>
      <c r="K224" s="27">
        <f t="shared" si="443"/>
        <v>17500</v>
      </c>
      <c r="L224" s="27">
        <f t="shared" si="443"/>
        <v>17500</v>
      </c>
      <c r="M224" s="39">
        <f>$AD$31-$AB$31</f>
        <v>17500</v>
      </c>
      <c r="N224" s="47">
        <f t="shared" si="443"/>
        <v>17500</v>
      </c>
      <c r="O224" s="39">
        <f>$AD$31-$AB$31</f>
        <v>17500</v>
      </c>
      <c r="P224" s="47">
        <f t="shared" si="443"/>
        <v>17500</v>
      </c>
      <c r="Q224" s="39">
        <f>$AD$31-$AB$31</f>
        <v>17500</v>
      </c>
      <c r="R224" s="47">
        <f t="shared" si="443"/>
        <v>17500</v>
      </c>
      <c r="S224" s="39">
        <f>$AD$31-$AB$31</f>
        <v>17500</v>
      </c>
      <c r="T224" s="47">
        <f t="shared" si="443"/>
        <v>17500</v>
      </c>
      <c r="U224" s="28">
        <f t="shared" si="403"/>
        <v>175000</v>
      </c>
      <c r="V224" s="28">
        <f t="shared" si="404"/>
        <v>175000</v>
      </c>
      <c r="W224" s="28"/>
      <c r="X224" s="42">
        <v>50000</v>
      </c>
      <c r="Y224" s="41"/>
    </row>
    <row r="225" spans="1:25" x14ac:dyDescent="0.25">
      <c r="A225" s="8">
        <v>62</v>
      </c>
      <c r="B225" s="8" t="s">
        <v>138</v>
      </c>
      <c r="C225" s="8">
        <v>10</v>
      </c>
      <c r="D225" s="5"/>
      <c r="E225" s="27">
        <v>0</v>
      </c>
      <c r="F225" s="27">
        <v>0</v>
      </c>
      <c r="G225" s="27">
        <f t="shared" si="443"/>
        <v>17500</v>
      </c>
      <c r="H225" s="27">
        <f t="shared" si="443"/>
        <v>17500</v>
      </c>
      <c r="I225" s="27">
        <f t="shared" si="443"/>
        <v>17500</v>
      </c>
      <c r="J225" s="27">
        <f t="shared" si="443"/>
        <v>17500</v>
      </c>
      <c r="K225" s="27">
        <f t="shared" si="443"/>
        <v>17500</v>
      </c>
      <c r="L225" s="27">
        <f t="shared" si="443"/>
        <v>17500</v>
      </c>
      <c r="M225" s="39">
        <f>$AD$31-$AB$31</f>
        <v>17500</v>
      </c>
      <c r="N225" s="47">
        <f t="shared" si="443"/>
        <v>17500</v>
      </c>
      <c r="O225" s="39">
        <f>$AD$31-$AB$31</f>
        <v>17500</v>
      </c>
      <c r="P225" s="47">
        <f t="shared" si="443"/>
        <v>17500</v>
      </c>
      <c r="Q225" s="39">
        <f>$AD$31-$AB$31</f>
        <v>17500</v>
      </c>
      <c r="R225" s="47">
        <f t="shared" si="443"/>
        <v>17500</v>
      </c>
      <c r="S225" s="39">
        <f>$AD$31-$AB$31</f>
        <v>17500</v>
      </c>
      <c r="T225" s="47">
        <f t="shared" si="443"/>
        <v>17500</v>
      </c>
      <c r="U225" s="28">
        <f t="shared" si="403"/>
        <v>175000</v>
      </c>
      <c r="V225" s="28">
        <f t="shared" si="404"/>
        <v>175000</v>
      </c>
      <c r="W225" s="28"/>
      <c r="X225" s="42">
        <v>50000</v>
      </c>
      <c r="Y225" s="41"/>
    </row>
    <row r="226" spans="1:25" x14ac:dyDescent="0.25">
      <c r="A226" s="8">
        <v>63</v>
      </c>
      <c r="B226" s="8" t="s">
        <v>138</v>
      </c>
      <c r="C226" s="8">
        <v>10</v>
      </c>
      <c r="D226" s="5"/>
      <c r="E226" s="27">
        <v>0</v>
      </c>
      <c r="F226" s="27">
        <v>0</v>
      </c>
      <c r="G226" s="27"/>
      <c r="H226" s="27"/>
      <c r="I226" s="27"/>
      <c r="J226" s="27"/>
      <c r="K226" s="27"/>
      <c r="L226" s="27"/>
      <c r="M226" s="39"/>
      <c r="N226" s="47">
        <f t="shared" si="443"/>
        <v>17500</v>
      </c>
      <c r="O226" s="39"/>
      <c r="P226" s="47">
        <f t="shared" si="443"/>
        <v>17500</v>
      </c>
      <c r="Q226" s="39"/>
      <c r="R226" s="47">
        <f t="shared" si="443"/>
        <v>17500</v>
      </c>
      <c r="S226" s="39"/>
      <c r="T226" s="47">
        <f t="shared" si="443"/>
        <v>17500</v>
      </c>
      <c r="U226" s="28">
        <f t="shared" si="403"/>
        <v>0</v>
      </c>
      <c r="V226" s="28">
        <f t="shared" si="404"/>
        <v>70000</v>
      </c>
      <c r="W226" s="28"/>
      <c r="X226" s="42">
        <v>50000</v>
      </c>
      <c r="Y226" s="41"/>
    </row>
    <row r="227" spans="1:25" x14ac:dyDescent="0.25">
      <c r="A227" s="8">
        <v>64</v>
      </c>
      <c r="B227" s="16" t="s">
        <v>145</v>
      </c>
      <c r="C227" s="8">
        <v>10</v>
      </c>
      <c r="D227" s="5"/>
      <c r="E227" s="27">
        <v>0</v>
      </c>
      <c r="F227" s="27">
        <v>0</v>
      </c>
      <c r="G227" s="27">
        <f>$AE$6+$AC$6*$AG$6+$AI$6</f>
        <v>31750</v>
      </c>
      <c r="H227" s="27">
        <f t="shared" ref="H227:T227" si="444">$AE$6+$AC$6*$AG$6+$AI$6</f>
        <v>31750</v>
      </c>
      <c r="I227" s="27">
        <f t="shared" si="444"/>
        <v>31750</v>
      </c>
      <c r="J227" s="27">
        <f t="shared" si="444"/>
        <v>31750</v>
      </c>
      <c r="K227" s="27">
        <f t="shared" si="444"/>
        <v>31750</v>
      </c>
      <c r="L227" s="27">
        <f t="shared" si="444"/>
        <v>31750</v>
      </c>
      <c r="M227" s="39">
        <f>$AD$33-$AB$33+$AD$33*$AC$33</f>
        <v>28125</v>
      </c>
      <c r="N227" s="47">
        <f t="shared" si="444"/>
        <v>31750</v>
      </c>
      <c r="O227" s="39">
        <f>$AD$33-$AB$33+$AD$33*$AC$33</f>
        <v>28125</v>
      </c>
      <c r="P227" s="47">
        <f t="shared" si="444"/>
        <v>31750</v>
      </c>
      <c r="Q227" s="39">
        <f>$AD$33-$AB$33+$AD$33*$AC$33</f>
        <v>28125</v>
      </c>
      <c r="R227" s="47">
        <f t="shared" si="444"/>
        <v>31750</v>
      </c>
      <c r="S227" s="39">
        <f>($AD$33-$AB$33+$AD$33*$AC$33)*1.1</f>
        <v>30937.500000000004</v>
      </c>
      <c r="T227" s="47">
        <f t="shared" si="444"/>
        <v>31750</v>
      </c>
      <c r="U227" s="28">
        <f t="shared" si="403"/>
        <v>305812.5</v>
      </c>
      <c r="V227" s="28">
        <f t="shared" si="404"/>
        <v>317500</v>
      </c>
      <c r="W227" s="28"/>
      <c r="X227" s="42">
        <v>50000</v>
      </c>
      <c r="Y227" s="41"/>
    </row>
    <row r="228" spans="1:25" ht="30" x14ac:dyDescent="0.25">
      <c r="A228" s="8">
        <v>65</v>
      </c>
      <c r="B228" s="9" t="s">
        <v>148</v>
      </c>
      <c r="C228" s="8">
        <v>8</v>
      </c>
      <c r="D228" s="5" t="s">
        <v>159</v>
      </c>
      <c r="E228" s="27">
        <v>0</v>
      </c>
      <c r="F228" s="27">
        <v>14000</v>
      </c>
      <c r="G228" s="33">
        <v>0</v>
      </c>
      <c r="H228" s="33">
        <v>0</v>
      </c>
      <c r="I228" s="33">
        <v>0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28">
        <f t="shared" ref="U228:U235" si="445">SUM(E228:L228,M228,O228,Q228,S228)</f>
        <v>14000</v>
      </c>
      <c r="V228" s="28">
        <f t="shared" ref="V228:V235" si="446">SUM(E228:L228,N228,P228,R228,T228)</f>
        <v>14000</v>
      </c>
      <c r="W228" s="28"/>
      <c r="X228" s="42">
        <v>50000</v>
      </c>
      <c r="Y228" s="41"/>
    </row>
    <row r="229" spans="1:25" x14ac:dyDescent="0.25">
      <c r="A229" s="8">
        <v>66</v>
      </c>
      <c r="B229" s="9" t="s">
        <v>147</v>
      </c>
      <c r="C229" s="9">
        <v>8</v>
      </c>
      <c r="D229" s="5"/>
      <c r="E229" s="27">
        <v>0</v>
      </c>
      <c r="F229" s="27">
        <v>0</v>
      </c>
      <c r="G229" s="27">
        <v>0</v>
      </c>
      <c r="H229" s="27">
        <v>0</v>
      </c>
      <c r="I229" s="27">
        <v>0</v>
      </c>
      <c r="J229" s="27">
        <v>0</v>
      </c>
      <c r="K229" s="27">
        <v>0</v>
      </c>
      <c r="L229" s="27">
        <v>0</v>
      </c>
      <c r="M229" s="39">
        <v>0</v>
      </c>
      <c r="N229" s="47">
        <v>0</v>
      </c>
      <c r="O229" s="39">
        <v>0</v>
      </c>
      <c r="P229" s="47">
        <v>0</v>
      </c>
      <c r="Q229" s="39">
        <v>0</v>
      </c>
      <c r="R229" s="47">
        <v>0</v>
      </c>
      <c r="S229" s="39">
        <v>0</v>
      </c>
      <c r="T229" s="47">
        <v>0</v>
      </c>
      <c r="U229" s="28">
        <f t="shared" si="445"/>
        <v>0</v>
      </c>
      <c r="V229" s="28">
        <f t="shared" si="446"/>
        <v>0</v>
      </c>
      <c r="W229" s="28"/>
      <c r="X229" s="42">
        <v>50000</v>
      </c>
      <c r="Y229" s="41"/>
    </row>
    <row r="230" spans="1:25" x14ac:dyDescent="0.25">
      <c r="A230" s="8">
        <v>67</v>
      </c>
      <c r="B230" s="9" t="s">
        <v>168</v>
      </c>
      <c r="C230" s="9">
        <v>8</v>
      </c>
      <c r="D230" s="5"/>
      <c r="E230" s="27">
        <v>0</v>
      </c>
      <c r="F230" s="27">
        <v>0</v>
      </c>
      <c r="G230" s="27"/>
      <c r="H230" s="27"/>
      <c r="I230" s="27"/>
      <c r="J230" s="27"/>
      <c r="K230" s="27"/>
      <c r="L230" s="27"/>
      <c r="M230" s="39"/>
      <c r="N230" s="47"/>
      <c r="O230" s="39"/>
      <c r="P230" s="47"/>
      <c r="Q230" s="39"/>
      <c r="R230" s="47"/>
      <c r="S230" s="39"/>
      <c r="T230" s="47"/>
      <c r="U230" s="28">
        <f t="shared" si="445"/>
        <v>0</v>
      </c>
      <c r="V230" s="28">
        <f t="shared" si="446"/>
        <v>0</v>
      </c>
      <c r="W230" s="28"/>
      <c r="X230" s="42">
        <v>50000</v>
      </c>
      <c r="Y230" s="41"/>
    </row>
    <row r="231" spans="1:25" x14ac:dyDescent="0.25">
      <c r="A231" s="8">
        <v>68</v>
      </c>
      <c r="B231" s="9" t="s">
        <v>168</v>
      </c>
      <c r="C231" s="9">
        <v>8</v>
      </c>
      <c r="D231" s="5"/>
      <c r="E231" s="27">
        <v>0</v>
      </c>
      <c r="F231" s="27">
        <v>0</v>
      </c>
      <c r="G231" s="27"/>
      <c r="H231" s="27"/>
      <c r="I231" s="27"/>
      <c r="J231" s="27"/>
      <c r="K231" s="27"/>
      <c r="L231" s="27"/>
      <c r="M231" s="39"/>
      <c r="N231" s="47"/>
      <c r="O231" s="39"/>
      <c r="P231" s="47"/>
      <c r="Q231" s="39"/>
      <c r="R231" s="47"/>
      <c r="S231" s="39"/>
      <c r="T231" s="47"/>
      <c r="U231" s="28">
        <f t="shared" si="445"/>
        <v>0</v>
      </c>
      <c r="V231" s="28">
        <f t="shared" si="446"/>
        <v>0</v>
      </c>
      <c r="W231" s="28"/>
      <c r="X231" s="42">
        <v>50000</v>
      </c>
      <c r="Y231" s="41"/>
    </row>
    <row r="232" spans="1:25" x14ac:dyDescent="0.25">
      <c r="A232" s="8">
        <v>69</v>
      </c>
      <c r="B232" s="9" t="s">
        <v>168</v>
      </c>
      <c r="C232" s="9">
        <v>8</v>
      </c>
      <c r="D232" s="5"/>
      <c r="E232" s="27">
        <v>0</v>
      </c>
      <c r="F232" s="27">
        <v>0</v>
      </c>
      <c r="G232" s="27"/>
      <c r="H232" s="27"/>
      <c r="I232" s="27"/>
      <c r="J232" s="27"/>
      <c r="K232" s="27"/>
      <c r="L232" s="27"/>
      <c r="M232" s="39"/>
      <c r="N232" s="47"/>
      <c r="O232" s="39"/>
      <c r="P232" s="47"/>
      <c r="Q232" s="39"/>
      <c r="R232" s="47"/>
      <c r="S232" s="39"/>
      <c r="T232" s="47"/>
      <c r="U232" s="28">
        <f t="shared" si="445"/>
        <v>0</v>
      </c>
      <c r="V232" s="28">
        <f t="shared" si="446"/>
        <v>0</v>
      </c>
      <c r="W232" s="28"/>
      <c r="X232" s="42">
        <v>50000</v>
      </c>
      <c r="Y232" s="41"/>
    </row>
    <row r="233" spans="1:25" x14ac:dyDescent="0.25">
      <c r="A233" s="8">
        <v>70</v>
      </c>
      <c r="B233" s="9" t="s">
        <v>170</v>
      </c>
      <c r="C233" s="9">
        <v>8</v>
      </c>
      <c r="D233" s="5"/>
      <c r="E233" s="27">
        <v>0</v>
      </c>
      <c r="F233" s="27">
        <v>0</v>
      </c>
      <c r="G233" s="27"/>
      <c r="H233" s="27"/>
      <c r="I233" s="27"/>
      <c r="J233" s="27"/>
      <c r="K233" s="27"/>
      <c r="L233" s="27"/>
      <c r="M233" s="39"/>
      <c r="N233" s="47"/>
      <c r="O233" s="39"/>
      <c r="P233" s="47"/>
      <c r="Q233" s="39"/>
      <c r="R233" s="47"/>
      <c r="S233" s="39"/>
      <c r="T233" s="47"/>
      <c r="U233" s="28">
        <f t="shared" si="445"/>
        <v>0</v>
      </c>
      <c r="V233" s="28">
        <f t="shared" si="446"/>
        <v>0</v>
      </c>
      <c r="W233" s="28"/>
      <c r="X233" s="42">
        <v>50000</v>
      </c>
      <c r="Y233" s="41"/>
    </row>
    <row r="234" spans="1:25" ht="15" customHeight="1" x14ac:dyDescent="0.25">
      <c r="A234" s="8">
        <v>71</v>
      </c>
      <c r="B234" s="16" t="s">
        <v>146</v>
      </c>
      <c r="C234" s="8">
        <v>10</v>
      </c>
      <c r="D234" s="5" t="s">
        <v>157</v>
      </c>
      <c r="E234" s="27">
        <v>25750</v>
      </c>
      <c r="F234" s="27">
        <v>107900</v>
      </c>
      <c r="G234" s="27"/>
      <c r="H234" s="27"/>
      <c r="I234" s="27"/>
      <c r="J234" s="27"/>
      <c r="K234" s="27"/>
      <c r="L234" s="27"/>
      <c r="M234" s="39"/>
      <c r="N234" s="47"/>
      <c r="O234" s="39"/>
      <c r="P234" s="47"/>
      <c r="Q234" s="39"/>
      <c r="R234" s="47"/>
      <c r="S234" s="39"/>
      <c r="T234" s="47"/>
      <c r="U234" s="28">
        <f t="shared" si="445"/>
        <v>133650</v>
      </c>
      <c r="V234" s="28">
        <f t="shared" si="446"/>
        <v>133650</v>
      </c>
      <c r="W234" s="28"/>
      <c r="X234" s="42">
        <v>50000</v>
      </c>
      <c r="Y234" s="41"/>
    </row>
    <row r="235" spans="1:25" ht="15" customHeight="1" x14ac:dyDescent="0.25">
      <c r="A235" s="8">
        <v>72</v>
      </c>
      <c r="B235" s="16" t="s">
        <v>146</v>
      </c>
      <c r="C235" s="9">
        <v>10</v>
      </c>
      <c r="D235" s="5" t="s">
        <v>158</v>
      </c>
      <c r="E235" s="27">
        <v>25750</v>
      </c>
      <c r="F235" s="27">
        <v>115400</v>
      </c>
      <c r="G235" s="27"/>
      <c r="H235" s="27"/>
      <c r="I235" s="27"/>
      <c r="J235" s="27"/>
      <c r="K235" s="27"/>
      <c r="L235" s="27"/>
      <c r="M235" s="39"/>
      <c r="N235" s="47"/>
      <c r="O235" s="39"/>
      <c r="P235" s="47"/>
      <c r="Q235" s="39"/>
      <c r="R235" s="47"/>
      <c r="S235" s="39"/>
      <c r="T235" s="47"/>
      <c r="U235" s="28">
        <f t="shared" si="445"/>
        <v>141150</v>
      </c>
      <c r="V235" s="28">
        <f t="shared" si="446"/>
        <v>141150</v>
      </c>
      <c r="W235" s="28"/>
      <c r="X235" s="42">
        <v>50000</v>
      </c>
      <c r="Y235" s="41"/>
    </row>
    <row r="236" spans="1:25" x14ac:dyDescent="0.25">
      <c r="D236" s="6" t="s">
        <v>15</v>
      </c>
      <c r="E236" s="43">
        <f>SUM(E164:E235)</f>
        <v>1306750</v>
      </c>
      <c r="F236" s="43">
        <f t="shared" ref="F236:S236" si="447">SUM(F164:F235)</f>
        <v>4757550</v>
      </c>
      <c r="G236" s="43">
        <f t="shared" si="447"/>
        <v>2002519.25</v>
      </c>
      <c r="H236" s="43">
        <f t="shared" si="447"/>
        <v>2002519.25</v>
      </c>
      <c r="I236" s="43">
        <f t="shared" si="447"/>
        <v>2017519.25</v>
      </c>
      <c r="J236" s="43">
        <f t="shared" si="447"/>
        <v>2032519.25</v>
      </c>
      <c r="K236" s="43">
        <f t="shared" si="447"/>
        <v>2032519.25</v>
      </c>
      <c r="L236" s="43">
        <f t="shared" si="447"/>
        <v>2032519.25</v>
      </c>
      <c r="M236" s="43">
        <f t="shared" si="447"/>
        <v>2883625</v>
      </c>
      <c r="N236" s="49">
        <f t="shared" ref="N236" si="448">SUM(N164:N235)</f>
        <v>2162269.25</v>
      </c>
      <c r="O236" s="43">
        <f t="shared" si="447"/>
        <v>2883625</v>
      </c>
      <c r="P236" s="49">
        <f t="shared" ref="P236" si="449">SUM(P164:P235)</f>
        <v>2162269.25</v>
      </c>
      <c r="Q236" s="43">
        <f t="shared" si="447"/>
        <v>2883625</v>
      </c>
      <c r="R236" s="49">
        <f t="shared" ref="R236" si="450">SUM(R164:R235)</f>
        <v>2162269.25</v>
      </c>
      <c r="S236" s="43">
        <f t="shared" si="447"/>
        <v>2955737.5</v>
      </c>
      <c r="T236" s="49">
        <f t="shared" ref="T236" si="451">SUM(T164:T235)</f>
        <v>2162269.25</v>
      </c>
      <c r="U236" s="43">
        <f>SUM(U164:U235)</f>
        <v>29791028</v>
      </c>
      <c r="V236" s="43">
        <f>SUM(V164:V235)</f>
        <v>26833492.5</v>
      </c>
      <c r="W236" s="43"/>
      <c r="X236" s="37">
        <f>SUM(X164:X235)</f>
        <v>3750000</v>
      </c>
    </row>
  </sheetData>
  <autoFilter ref="A4:AK78" xr:uid="{00000000-0001-0000-0000-000000000000}"/>
  <mergeCells count="22">
    <mergeCell ref="V162:V163"/>
    <mergeCell ref="E83:S83"/>
    <mergeCell ref="U83:U84"/>
    <mergeCell ref="W83:W84"/>
    <mergeCell ref="V3:V4"/>
    <mergeCell ref="V83:V84"/>
    <mergeCell ref="X3:X4"/>
    <mergeCell ref="B162:B163"/>
    <mergeCell ref="C162:C163"/>
    <mergeCell ref="B3:B4"/>
    <mergeCell ref="C3:C4"/>
    <mergeCell ref="B83:B84"/>
    <mergeCell ref="C83:C84"/>
    <mergeCell ref="D3:D4"/>
    <mergeCell ref="E3:S3"/>
    <mergeCell ref="U3:U4"/>
    <mergeCell ref="W3:W4"/>
    <mergeCell ref="D162:D163"/>
    <mergeCell ref="E162:S162"/>
    <mergeCell ref="U162:U163"/>
    <mergeCell ref="W162:W163"/>
    <mergeCell ref="D83:D84"/>
  </mergeCells>
  <phoneticPr fontId="7" type="noConversion"/>
  <pageMargins left="0.7" right="0.7" top="0.75" bottom="0.75" header="0.3" footer="0.3"/>
  <pageSetup paperSize="9" scale="61" fitToHeight="0" orientation="landscape" r:id="rId1"/>
  <ignoredErrors>
    <ignoredError sqref="S106 S119 S110 S86 S126 S89 S198:S200 S203:S206 S224:S225 S185:S189 S165:S168 M185:M189 M165:M168 G205:M205 G198:M198 E89:M89 E126:M126 E86:M86 E110:M110 G119:M119 E106:M106 O165:O168 O185:O189 O224:O225 O203:O206 O198:O200 O89 O126 O86 O110 O119 O106 Q165:Q168 Q185:Q189 Q224:Q225 Q203:Q206 Q198:Q200 Q89 Q126 Q86 Q110 Q119 Q106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9D0A-81C4-47AE-8735-13322CEEE83E}">
  <dimension ref="A1:N85"/>
  <sheetViews>
    <sheetView topLeftCell="A55" zoomScale="70" zoomScaleNormal="70" workbookViewId="0">
      <selection activeCell="N85" sqref="N85"/>
    </sheetView>
  </sheetViews>
  <sheetFormatPr defaultRowHeight="15" x14ac:dyDescent="0.25"/>
  <cols>
    <col min="1" max="1" width="21.7109375" customWidth="1"/>
    <col min="11" max="11" width="11.85546875" bestFit="1" customWidth="1"/>
    <col min="14" max="14" width="10.28515625" bestFit="1" customWidth="1"/>
  </cols>
  <sheetData>
    <row r="1" spans="1:11" ht="15.75" thickBo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5.75" thickBot="1" x14ac:dyDescent="0.3">
      <c r="A2" s="18" t="s">
        <v>72</v>
      </c>
      <c r="B2" s="18" t="s">
        <v>73</v>
      </c>
      <c r="C2" s="18"/>
      <c r="D2" s="18"/>
      <c r="E2" s="18"/>
      <c r="F2" s="18"/>
      <c r="G2" s="18"/>
      <c r="H2" s="18"/>
      <c r="I2" s="18"/>
      <c r="J2" s="18"/>
      <c r="K2" s="18"/>
    </row>
    <row r="3" spans="1:11" ht="15.75" thickBot="1" x14ac:dyDescent="0.3">
      <c r="A3" s="18"/>
      <c r="B3" s="18" t="s">
        <v>74</v>
      </c>
      <c r="C3" s="18" t="s">
        <v>75</v>
      </c>
      <c r="D3" s="18" t="s">
        <v>76</v>
      </c>
      <c r="E3" s="18" t="s">
        <v>77</v>
      </c>
      <c r="F3" s="18" t="s">
        <v>8</v>
      </c>
      <c r="G3" s="18" t="s">
        <v>78</v>
      </c>
      <c r="H3" s="18" t="s">
        <v>79</v>
      </c>
      <c r="I3" s="18" t="s">
        <v>11</v>
      </c>
      <c r="J3" s="18" t="s">
        <v>80</v>
      </c>
      <c r="K3" s="18" t="s">
        <v>81</v>
      </c>
    </row>
    <row r="4" spans="1:11" ht="15.75" thickBot="1" x14ac:dyDescent="0.3">
      <c r="A4" s="18" t="s">
        <v>82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15.75" thickBot="1" x14ac:dyDescent="0.3">
      <c r="A5" s="19" t="s">
        <v>83</v>
      </c>
      <c r="B5" s="20">
        <v>112316</v>
      </c>
      <c r="C5" s="20">
        <v>124656</v>
      </c>
      <c r="D5" s="20">
        <v>102781</v>
      </c>
      <c r="E5" s="20">
        <v>102530</v>
      </c>
      <c r="F5" s="20">
        <v>118994</v>
      </c>
      <c r="G5" s="20">
        <v>121447</v>
      </c>
      <c r="H5" s="20">
        <v>95027</v>
      </c>
      <c r="I5" s="21"/>
      <c r="J5" s="21"/>
      <c r="K5" s="20">
        <v>777751</v>
      </c>
    </row>
    <row r="6" spans="1:11" ht="15.75" thickBot="1" x14ac:dyDescent="0.3">
      <c r="A6" s="19" t="s">
        <v>84</v>
      </c>
      <c r="B6" s="20">
        <v>80294</v>
      </c>
      <c r="C6" s="20">
        <v>110438</v>
      </c>
      <c r="D6" s="20">
        <v>58500</v>
      </c>
      <c r="E6" s="20">
        <v>106090</v>
      </c>
      <c r="F6" s="20">
        <v>122650</v>
      </c>
      <c r="G6" s="20">
        <v>108832</v>
      </c>
      <c r="H6" s="20">
        <v>74185</v>
      </c>
      <c r="I6" s="20">
        <v>93253</v>
      </c>
      <c r="J6" s="20">
        <v>134265</v>
      </c>
      <c r="K6" s="20">
        <v>888507</v>
      </c>
    </row>
    <row r="7" spans="1:11" ht="15.75" thickBot="1" x14ac:dyDescent="0.3">
      <c r="A7" s="19" t="s">
        <v>17</v>
      </c>
      <c r="B7" s="20">
        <v>114706</v>
      </c>
      <c r="C7" s="20">
        <v>85109</v>
      </c>
      <c r="D7" s="20">
        <v>101563</v>
      </c>
      <c r="E7" s="20">
        <v>110655</v>
      </c>
      <c r="F7" s="20">
        <v>114563</v>
      </c>
      <c r="G7" s="20">
        <v>121875</v>
      </c>
      <c r="H7" s="20">
        <v>104500</v>
      </c>
      <c r="I7" s="20">
        <v>82341</v>
      </c>
      <c r="J7" s="20">
        <v>94440</v>
      </c>
      <c r="K7" s="20">
        <v>929752</v>
      </c>
    </row>
    <row r="8" spans="1:11" ht="15.75" thickBot="1" x14ac:dyDescent="0.3">
      <c r="A8" s="19" t="s">
        <v>85</v>
      </c>
      <c r="B8" s="20">
        <v>80294</v>
      </c>
      <c r="C8" s="20">
        <v>89375</v>
      </c>
      <c r="D8" s="20">
        <v>69063</v>
      </c>
      <c r="E8" s="20">
        <v>71964</v>
      </c>
      <c r="F8" s="20">
        <v>79625</v>
      </c>
      <c r="G8" s="20">
        <v>100707</v>
      </c>
      <c r="H8" s="20">
        <v>81073</v>
      </c>
      <c r="I8" s="20">
        <v>84759</v>
      </c>
      <c r="J8" s="20">
        <v>78155</v>
      </c>
      <c r="K8" s="20">
        <v>735015</v>
      </c>
    </row>
    <row r="9" spans="1:11" ht="15.75" thickBot="1" x14ac:dyDescent="0.3">
      <c r="A9" s="19" t="s">
        <v>18</v>
      </c>
      <c r="B9" s="21"/>
      <c r="C9" s="21"/>
      <c r="D9" s="21"/>
      <c r="E9" s="21"/>
      <c r="F9" s="21"/>
      <c r="G9" s="21"/>
      <c r="H9" s="21"/>
      <c r="I9" s="20">
        <v>39531</v>
      </c>
      <c r="J9" s="21"/>
      <c r="K9" s="20">
        <v>39531</v>
      </c>
    </row>
    <row r="10" spans="1:11" ht="15.75" thickBot="1" x14ac:dyDescent="0.3">
      <c r="A10" s="19" t="s">
        <v>86</v>
      </c>
      <c r="B10" s="21"/>
      <c r="C10" s="21"/>
      <c r="D10" s="21"/>
      <c r="E10" s="21"/>
      <c r="F10" s="21"/>
      <c r="G10" s="21"/>
      <c r="H10" s="21"/>
      <c r="I10" s="21"/>
      <c r="J10" s="20">
        <v>70238</v>
      </c>
      <c r="K10" s="20">
        <v>70238</v>
      </c>
    </row>
    <row r="11" spans="1:11" ht="15.75" thickBot="1" x14ac:dyDescent="0.3">
      <c r="A11" s="19" t="s">
        <v>87</v>
      </c>
      <c r="B11" s="21"/>
      <c r="C11" s="21"/>
      <c r="D11" s="21"/>
      <c r="E11" s="21"/>
      <c r="F11" s="21" t="s">
        <v>88</v>
      </c>
      <c r="G11" s="21"/>
      <c r="H11" s="21"/>
      <c r="I11" s="21"/>
      <c r="J11" s="21"/>
      <c r="K11" s="21" t="s">
        <v>88</v>
      </c>
    </row>
    <row r="12" spans="1:11" ht="15.75" thickBot="1" x14ac:dyDescent="0.3">
      <c r="A12" s="19" t="s">
        <v>42</v>
      </c>
      <c r="B12" s="21"/>
      <c r="C12" s="21"/>
      <c r="D12" s="20">
        <v>38500</v>
      </c>
      <c r="E12" s="20">
        <v>60714</v>
      </c>
      <c r="F12" s="20">
        <v>69875</v>
      </c>
      <c r="G12" s="20">
        <v>94507</v>
      </c>
      <c r="H12" s="20">
        <v>86372</v>
      </c>
      <c r="I12" s="20">
        <v>90852</v>
      </c>
      <c r="J12" s="20">
        <v>89568</v>
      </c>
      <c r="K12" s="20">
        <v>530388</v>
      </c>
    </row>
    <row r="13" spans="1:11" ht="15.75" thickBot="1" x14ac:dyDescent="0.3">
      <c r="A13" s="19" t="s">
        <v>89</v>
      </c>
      <c r="B13" s="20">
        <v>125221</v>
      </c>
      <c r="C13" s="20">
        <v>101766</v>
      </c>
      <c r="D13" s="20">
        <v>101563</v>
      </c>
      <c r="E13" s="20">
        <v>92857</v>
      </c>
      <c r="F13" s="20">
        <v>130000</v>
      </c>
      <c r="G13" s="20">
        <v>92368</v>
      </c>
      <c r="H13" s="20">
        <v>81250</v>
      </c>
      <c r="I13" s="20">
        <v>73864</v>
      </c>
      <c r="J13" s="20">
        <v>117039</v>
      </c>
      <c r="K13" s="20">
        <v>915928</v>
      </c>
    </row>
    <row r="14" spans="1:11" ht="15.75" thickBot="1" x14ac:dyDescent="0.3">
      <c r="A14" s="19" t="s">
        <v>90</v>
      </c>
      <c r="B14" s="20">
        <v>45000</v>
      </c>
      <c r="C14" s="20">
        <v>50000</v>
      </c>
      <c r="D14" s="20">
        <v>50000</v>
      </c>
      <c r="E14" s="20">
        <v>50000</v>
      </c>
      <c r="F14" s="20">
        <v>50000</v>
      </c>
      <c r="G14" s="20">
        <v>50000</v>
      </c>
      <c r="H14" s="20">
        <v>50000</v>
      </c>
      <c r="I14" s="20">
        <v>50000</v>
      </c>
      <c r="J14" s="20">
        <v>55060</v>
      </c>
      <c r="K14" s="20">
        <v>450060</v>
      </c>
    </row>
    <row r="15" spans="1:11" ht="15.75" thickBot="1" x14ac:dyDescent="0.3">
      <c r="A15" s="19" t="s">
        <v>19</v>
      </c>
      <c r="B15" s="20">
        <v>81250</v>
      </c>
      <c r="C15" s="20">
        <v>81250</v>
      </c>
      <c r="D15" s="20">
        <v>81250</v>
      </c>
      <c r="E15" s="20">
        <v>83571</v>
      </c>
      <c r="F15" s="20">
        <v>84500</v>
      </c>
      <c r="G15" s="20">
        <v>85099</v>
      </c>
      <c r="H15" s="20">
        <v>81250</v>
      </c>
      <c r="I15" s="20">
        <v>81250</v>
      </c>
      <c r="J15" s="20">
        <v>84345</v>
      </c>
      <c r="K15" s="20">
        <v>743765</v>
      </c>
    </row>
    <row r="16" spans="1:11" ht="15.75" thickBot="1" x14ac:dyDescent="0.3">
      <c r="A16" s="19" t="s">
        <v>91</v>
      </c>
      <c r="B16" s="20">
        <v>61176</v>
      </c>
      <c r="C16" s="20">
        <v>74750</v>
      </c>
      <c r="D16" s="20">
        <v>76375</v>
      </c>
      <c r="E16" s="20">
        <v>60357</v>
      </c>
      <c r="F16" s="20">
        <v>78406</v>
      </c>
      <c r="G16" s="20">
        <v>72056</v>
      </c>
      <c r="H16" s="20">
        <v>63410</v>
      </c>
      <c r="I16" s="20">
        <v>123167</v>
      </c>
      <c r="J16" s="21"/>
      <c r="K16" s="20">
        <v>609697</v>
      </c>
    </row>
    <row r="17" spans="1:11" ht="15.75" thickBot="1" x14ac:dyDescent="0.3">
      <c r="A17" s="19" t="s">
        <v>92</v>
      </c>
      <c r="B17" s="21"/>
      <c r="C17" s="21"/>
      <c r="D17" s="20">
        <v>38500</v>
      </c>
      <c r="E17" s="20">
        <v>58095</v>
      </c>
      <c r="F17" s="20">
        <v>56063</v>
      </c>
      <c r="G17" s="21"/>
      <c r="H17" s="21"/>
      <c r="I17" s="21"/>
      <c r="J17" s="21"/>
      <c r="K17" s="20">
        <v>152658</v>
      </c>
    </row>
    <row r="18" spans="1:11" ht="15.75" thickBot="1" x14ac:dyDescent="0.3">
      <c r="A18" s="19" t="s">
        <v>93</v>
      </c>
      <c r="B18" s="20">
        <v>65000</v>
      </c>
      <c r="C18" s="20">
        <v>65000</v>
      </c>
      <c r="D18" s="20">
        <v>65000</v>
      </c>
      <c r="E18" s="20">
        <v>72738</v>
      </c>
      <c r="F18" s="20">
        <v>73531</v>
      </c>
      <c r="G18" s="20">
        <v>81250</v>
      </c>
      <c r="H18" s="20">
        <v>65000</v>
      </c>
      <c r="I18" s="20">
        <v>65185</v>
      </c>
      <c r="J18" s="20">
        <v>70417</v>
      </c>
      <c r="K18" s="20">
        <v>623121</v>
      </c>
    </row>
    <row r="19" spans="1:11" ht="15.75" thickBot="1" x14ac:dyDescent="0.3">
      <c r="A19" s="19" t="s">
        <v>20</v>
      </c>
      <c r="B19" s="20">
        <v>135735</v>
      </c>
      <c r="C19" s="20">
        <v>117813</v>
      </c>
      <c r="D19" s="20">
        <v>113750</v>
      </c>
      <c r="E19" s="20">
        <v>104464</v>
      </c>
      <c r="F19" s="20">
        <v>113750</v>
      </c>
      <c r="G19" s="20">
        <v>130000</v>
      </c>
      <c r="H19" s="20">
        <v>111565</v>
      </c>
      <c r="I19" s="20">
        <v>122227</v>
      </c>
      <c r="J19" s="20">
        <v>119976</v>
      </c>
      <c r="K19" s="20">
        <v>1069280</v>
      </c>
    </row>
    <row r="20" spans="1:11" ht="15.75" thickBot="1" x14ac:dyDescent="0.3">
      <c r="A20" s="19" t="s">
        <v>94</v>
      </c>
      <c r="B20" s="20">
        <v>76949</v>
      </c>
      <c r="C20" s="20">
        <v>90188</v>
      </c>
      <c r="D20" s="20">
        <v>81250</v>
      </c>
      <c r="E20" s="20">
        <v>77381</v>
      </c>
      <c r="F20" s="20">
        <v>81250</v>
      </c>
      <c r="G20" s="20">
        <v>85740</v>
      </c>
      <c r="H20" s="20">
        <v>101739</v>
      </c>
      <c r="I20" s="21"/>
      <c r="J20" s="21"/>
      <c r="K20" s="20">
        <v>594497</v>
      </c>
    </row>
    <row r="21" spans="1:11" ht="15.75" thickBot="1" x14ac:dyDescent="0.3">
      <c r="A21" s="19" t="s">
        <v>95</v>
      </c>
      <c r="B21" s="21"/>
      <c r="C21" s="21"/>
      <c r="D21" s="21"/>
      <c r="E21" s="21"/>
      <c r="F21" s="21"/>
      <c r="G21" s="21"/>
      <c r="H21" s="21"/>
      <c r="I21" s="20">
        <v>37500</v>
      </c>
      <c r="J21" s="21"/>
      <c r="K21" s="20">
        <v>37500</v>
      </c>
    </row>
    <row r="22" spans="1:11" ht="15.75" thickBot="1" x14ac:dyDescent="0.3">
      <c r="A22" s="19" t="s">
        <v>96</v>
      </c>
      <c r="B22" s="20">
        <v>112794</v>
      </c>
      <c r="C22" s="20">
        <v>99088</v>
      </c>
      <c r="D22" s="20">
        <v>60938</v>
      </c>
      <c r="E22" s="20">
        <v>88988</v>
      </c>
      <c r="F22" s="20">
        <v>96244</v>
      </c>
      <c r="G22" s="20">
        <v>113322</v>
      </c>
      <c r="H22" s="20">
        <v>81073</v>
      </c>
      <c r="I22" s="20">
        <v>77741</v>
      </c>
      <c r="J22" s="20">
        <v>133187</v>
      </c>
      <c r="K22" s="20">
        <v>863375</v>
      </c>
    </row>
    <row r="23" spans="1:11" ht="15.75" thickBot="1" x14ac:dyDescent="0.3">
      <c r="A23" s="19" t="s">
        <v>21</v>
      </c>
      <c r="B23" s="21"/>
      <c r="C23" s="21"/>
      <c r="D23" s="21"/>
      <c r="E23" s="21"/>
      <c r="F23" s="20">
        <v>49500</v>
      </c>
      <c r="G23" s="20">
        <v>73684</v>
      </c>
      <c r="H23" s="20">
        <v>71889</v>
      </c>
      <c r="I23" s="20">
        <v>77372</v>
      </c>
      <c r="J23" s="20">
        <v>77188</v>
      </c>
      <c r="K23" s="20">
        <v>349633</v>
      </c>
    </row>
    <row r="24" spans="1:11" ht="15.75" thickBot="1" x14ac:dyDescent="0.3">
      <c r="A24" s="19" t="s">
        <v>97</v>
      </c>
      <c r="B24" s="20">
        <v>123309</v>
      </c>
      <c r="C24" s="20">
        <v>119400</v>
      </c>
      <c r="D24" s="20">
        <v>70688</v>
      </c>
      <c r="E24" s="20">
        <v>114989</v>
      </c>
      <c r="F24" s="20">
        <v>135650</v>
      </c>
      <c r="G24" s="20">
        <v>122730</v>
      </c>
      <c r="H24" s="20">
        <v>92378</v>
      </c>
      <c r="I24" s="20">
        <v>91960</v>
      </c>
      <c r="J24" s="20">
        <v>110733</v>
      </c>
      <c r="K24" s="20">
        <v>981837</v>
      </c>
    </row>
    <row r="25" spans="1:11" ht="15.75" thickBot="1" x14ac:dyDescent="0.3">
      <c r="A25" s="19" t="s">
        <v>98</v>
      </c>
      <c r="B25" s="20">
        <v>74115</v>
      </c>
      <c r="C25" s="21"/>
      <c r="D25" s="21"/>
      <c r="E25" s="21"/>
      <c r="F25" s="21"/>
      <c r="G25" s="21"/>
      <c r="H25" s="21"/>
      <c r="I25" s="21"/>
      <c r="J25" s="21"/>
      <c r="K25" s="20">
        <v>74115</v>
      </c>
    </row>
    <row r="26" spans="1:11" ht="15.75" thickBot="1" x14ac:dyDescent="0.3">
      <c r="A26" s="19" t="s">
        <v>99</v>
      </c>
      <c r="B26" s="20">
        <v>100000</v>
      </c>
      <c r="C26" s="20">
        <v>100000</v>
      </c>
      <c r="D26" s="20">
        <v>100000</v>
      </c>
      <c r="E26" s="20">
        <v>100000</v>
      </c>
      <c r="F26" s="20">
        <v>100000</v>
      </c>
      <c r="G26" s="20">
        <v>100000</v>
      </c>
      <c r="H26" s="20">
        <v>100000</v>
      </c>
      <c r="I26" s="20">
        <v>100000</v>
      </c>
      <c r="J26" s="20">
        <v>100000</v>
      </c>
      <c r="K26" s="20">
        <v>900000</v>
      </c>
    </row>
    <row r="27" spans="1:11" ht="15.75" thickBot="1" x14ac:dyDescent="0.3">
      <c r="A27" s="19" t="s">
        <v>100</v>
      </c>
      <c r="B27" s="20">
        <v>159632</v>
      </c>
      <c r="C27" s="20">
        <v>224688</v>
      </c>
      <c r="D27" s="20">
        <v>170000</v>
      </c>
      <c r="E27" s="20">
        <v>179186</v>
      </c>
      <c r="F27" s="20">
        <v>156150</v>
      </c>
      <c r="G27" s="20">
        <v>185526</v>
      </c>
      <c r="H27" s="20">
        <v>225000</v>
      </c>
      <c r="I27" s="20">
        <v>150000</v>
      </c>
      <c r="J27" s="20">
        <v>188514</v>
      </c>
      <c r="K27" s="20">
        <v>1638696</v>
      </c>
    </row>
    <row r="28" spans="1:11" ht="15.75" thickBot="1" x14ac:dyDescent="0.3">
      <c r="A28" s="19" t="s">
        <v>101</v>
      </c>
      <c r="B28" s="20">
        <v>97500</v>
      </c>
      <c r="C28" s="20">
        <v>118625</v>
      </c>
      <c r="D28" s="20">
        <v>97500</v>
      </c>
      <c r="E28" s="20">
        <v>97500</v>
      </c>
      <c r="F28" s="20">
        <v>97500</v>
      </c>
      <c r="G28" s="20">
        <v>109260</v>
      </c>
      <c r="H28" s="20">
        <v>93261</v>
      </c>
      <c r="I28" s="20">
        <v>96207</v>
      </c>
      <c r="J28" s="20">
        <v>97500</v>
      </c>
      <c r="K28" s="20">
        <v>904853</v>
      </c>
    </row>
    <row r="29" spans="1:11" ht="15.75" thickBot="1" x14ac:dyDescent="0.3">
      <c r="A29" s="19" t="s">
        <v>102</v>
      </c>
      <c r="B29" s="20">
        <v>65000</v>
      </c>
      <c r="C29" s="20">
        <v>81250</v>
      </c>
      <c r="D29" s="20">
        <v>81250</v>
      </c>
      <c r="E29" s="20">
        <v>107559</v>
      </c>
      <c r="F29" s="21"/>
      <c r="G29" s="21"/>
      <c r="H29" s="21"/>
      <c r="I29" s="21"/>
      <c r="J29" s="21"/>
      <c r="K29" s="20">
        <v>335059</v>
      </c>
    </row>
    <row r="30" spans="1:11" ht="15.75" thickBot="1" x14ac:dyDescent="0.3">
      <c r="A30" s="19" t="s">
        <v>103</v>
      </c>
      <c r="B30" s="20">
        <v>119485</v>
      </c>
      <c r="C30" s="20">
        <v>111313</v>
      </c>
      <c r="D30" s="20">
        <v>104406</v>
      </c>
      <c r="E30" s="20">
        <v>99435</v>
      </c>
      <c r="F30" s="20">
        <v>107250</v>
      </c>
      <c r="G30" s="20">
        <v>123158</v>
      </c>
      <c r="H30" s="20">
        <v>90435</v>
      </c>
      <c r="I30" s="20">
        <v>97315</v>
      </c>
      <c r="J30" s="20">
        <v>90729</v>
      </c>
      <c r="K30" s="20">
        <v>943526</v>
      </c>
    </row>
    <row r="31" spans="1:11" ht="15.75" thickBot="1" x14ac:dyDescent="0.3">
      <c r="A31" s="19" t="s">
        <v>104</v>
      </c>
      <c r="B31" s="21"/>
      <c r="C31" s="21"/>
      <c r="D31" s="21"/>
      <c r="E31" s="21"/>
      <c r="F31" s="21"/>
      <c r="G31" s="21"/>
      <c r="H31" s="21"/>
      <c r="I31" s="20">
        <v>37500</v>
      </c>
      <c r="J31" s="21"/>
      <c r="K31" s="20">
        <v>37500</v>
      </c>
    </row>
    <row r="32" spans="1:11" ht="15.75" thickBot="1" x14ac:dyDescent="0.3">
      <c r="A32" s="19" t="s">
        <v>105</v>
      </c>
      <c r="B32" s="21"/>
      <c r="C32" s="21"/>
      <c r="D32" s="21"/>
      <c r="E32" s="21"/>
      <c r="F32" s="21"/>
      <c r="G32" s="21"/>
      <c r="H32" s="21"/>
      <c r="I32" s="21"/>
      <c r="J32" s="20">
        <v>39613</v>
      </c>
      <c r="K32" s="20">
        <v>39613</v>
      </c>
    </row>
    <row r="33" spans="1:11" ht="15.75" thickBot="1" x14ac:dyDescent="0.3">
      <c r="A33" s="19" t="s">
        <v>106</v>
      </c>
      <c r="B33" s="20">
        <v>145294</v>
      </c>
      <c r="C33" s="20">
        <v>139281</v>
      </c>
      <c r="D33" s="20">
        <v>113750</v>
      </c>
      <c r="E33" s="20">
        <v>118858</v>
      </c>
      <c r="F33" s="20">
        <v>103556</v>
      </c>
      <c r="G33" s="20">
        <v>121447</v>
      </c>
      <c r="H33" s="20">
        <v>104323</v>
      </c>
      <c r="I33" s="20">
        <v>104500</v>
      </c>
      <c r="J33" s="20">
        <v>121229</v>
      </c>
      <c r="K33" s="20">
        <v>1072238</v>
      </c>
    </row>
    <row r="34" spans="1:11" ht="15.75" thickBot="1" x14ac:dyDescent="0.3">
      <c r="A34" s="19" t="s">
        <v>46</v>
      </c>
      <c r="B34" s="21"/>
      <c r="C34" s="21"/>
      <c r="D34" s="21"/>
      <c r="E34" s="21"/>
      <c r="F34" s="21"/>
      <c r="G34" s="21"/>
      <c r="H34" s="21"/>
      <c r="I34" s="20">
        <v>27656</v>
      </c>
      <c r="J34" s="20">
        <v>55893</v>
      </c>
      <c r="K34" s="20">
        <v>83549</v>
      </c>
    </row>
    <row r="35" spans="1:11" ht="15.75" thickBot="1" x14ac:dyDescent="0.3">
      <c r="A35" s="19" t="s">
        <v>22</v>
      </c>
      <c r="B35" s="20">
        <v>77426</v>
      </c>
      <c r="C35" s="20">
        <v>90797</v>
      </c>
      <c r="D35" s="20">
        <v>79422</v>
      </c>
      <c r="E35" s="20">
        <v>81250</v>
      </c>
      <c r="F35" s="20">
        <v>82875</v>
      </c>
      <c r="G35" s="20">
        <v>96645</v>
      </c>
      <c r="H35" s="20">
        <v>80190</v>
      </c>
      <c r="I35" s="20">
        <v>66477</v>
      </c>
      <c r="J35" s="20">
        <v>67321</v>
      </c>
      <c r="K35" s="20">
        <v>722403</v>
      </c>
    </row>
    <row r="36" spans="1:11" ht="15.75" thickBot="1" x14ac:dyDescent="0.3">
      <c r="A36" s="19" t="s">
        <v>107</v>
      </c>
      <c r="B36" s="21"/>
      <c r="C36" s="21"/>
      <c r="D36" s="21"/>
      <c r="E36" s="21"/>
      <c r="F36" s="21"/>
      <c r="G36" s="20">
        <v>40526</v>
      </c>
      <c r="H36" s="20">
        <v>67865</v>
      </c>
      <c r="I36" s="21"/>
      <c r="J36" s="21"/>
      <c r="K36" s="20">
        <v>108391</v>
      </c>
    </row>
    <row r="37" spans="1:11" ht="15.75" thickBot="1" x14ac:dyDescent="0.3">
      <c r="A37" s="19" t="s">
        <v>108</v>
      </c>
      <c r="B37" s="20">
        <v>76949</v>
      </c>
      <c r="C37" s="20">
        <v>87344</v>
      </c>
      <c r="D37" s="20">
        <v>81250</v>
      </c>
      <c r="E37" s="20">
        <v>80722</v>
      </c>
      <c r="F37" s="20">
        <v>72516</v>
      </c>
      <c r="G37" s="20">
        <v>95148</v>
      </c>
      <c r="H37" s="20">
        <v>67473</v>
      </c>
      <c r="I37" s="20">
        <v>76449</v>
      </c>
      <c r="J37" s="20">
        <v>96792</v>
      </c>
      <c r="K37" s="20">
        <v>734643</v>
      </c>
    </row>
    <row r="38" spans="1:11" ht="15.75" thickBot="1" x14ac:dyDescent="0.3">
      <c r="A38" s="19" t="s">
        <v>109</v>
      </c>
      <c r="B38" s="20">
        <v>54007</v>
      </c>
      <c r="C38" s="20">
        <v>47328</v>
      </c>
      <c r="D38" s="20">
        <v>66219</v>
      </c>
      <c r="E38" s="20">
        <v>70804</v>
      </c>
      <c r="F38" s="20">
        <v>52203</v>
      </c>
      <c r="G38" s="20">
        <v>93651</v>
      </c>
      <c r="H38" s="20">
        <v>60761</v>
      </c>
      <c r="I38" s="21"/>
      <c r="J38" s="21"/>
      <c r="K38" s="20">
        <v>444973</v>
      </c>
    </row>
    <row r="39" spans="1:11" ht="15.75" thickBot="1" x14ac:dyDescent="0.3">
      <c r="A39" s="19" t="s">
        <v>110</v>
      </c>
      <c r="B39" s="21"/>
      <c r="C39" s="21"/>
      <c r="D39" s="21"/>
      <c r="E39" s="21"/>
      <c r="F39" s="21"/>
      <c r="G39" s="20">
        <v>34737</v>
      </c>
      <c r="H39" s="20">
        <v>66561</v>
      </c>
      <c r="I39" s="21"/>
      <c r="J39" s="21"/>
      <c r="K39" s="20">
        <v>101298</v>
      </c>
    </row>
    <row r="40" spans="1:11" ht="15.75" thickBot="1" x14ac:dyDescent="0.3">
      <c r="A40" s="19" t="s">
        <v>111</v>
      </c>
      <c r="B40" s="20">
        <v>65000</v>
      </c>
      <c r="C40" s="20">
        <v>65000</v>
      </c>
      <c r="D40" s="20">
        <v>65000</v>
      </c>
      <c r="E40" s="20">
        <v>72351</v>
      </c>
      <c r="F40" s="20">
        <v>73125</v>
      </c>
      <c r="G40" s="20">
        <v>155676</v>
      </c>
      <c r="H40" s="21"/>
      <c r="I40" s="21"/>
      <c r="J40" s="21"/>
      <c r="K40" s="20">
        <v>496152</v>
      </c>
    </row>
    <row r="41" spans="1:11" ht="15.75" thickBot="1" x14ac:dyDescent="0.3">
      <c r="A41" s="19" t="s">
        <v>23</v>
      </c>
      <c r="B41" s="20">
        <v>72886</v>
      </c>
      <c r="C41" s="20">
        <v>88969</v>
      </c>
      <c r="D41" s="20">
        <v>81250</v>
      </c>
      <c r="E41" s="20">
        <v>81715</v>
      </c>
      <c r="F41" s="20">
        <v>88119</v>
      </c>
      <c r="G41" s="20">
        <v>81464</v>
      </c>
      <c r="H41" s="20">
        <v>77364</v>
      </c>
      <c r="I41" s="20">
        <v>82358</v>
      </c>
      <c r="J41" s="20">
        <v>133574</v>
      </c>
      <c r="K41" s="20">
        <v>787699</v>
      </c>
    </row>
    <row r="42" spans="1:11" ht="15.75" thickBot="1" x14ac:dyDescent="0.3">
      <c r="A42" s="19" t="s">
        <v>24</v>
      </c>
      <c r="B42" s="21"/>
      <c r="C42" s="21"/>
      <c r="D42" s="21"/>
      <c r="E42" s="21"/>
      <c r="F42" s="21"/>
      <c r="G42" s="21"/>
      <c r="H42" s="21"/>
      <c r="I42" s="21"/>
      <c r="J42" s="20">
        <v>34539</v>
      </c>
      <c r="K42" s="20">
        <v>34539</v>
      </c>
    </row>
    <row r="43" spans="1:11" ht="15.75" thickBot="1" x14ac:dyDescent="0.3">
      <c r="A43" s="19" t="s">
        <v>112</v>
      </c>
      <c r="B43" s="20">
        <v>81250</v>
      </c>
      <c r="C43" s="21" t="s">
        <v>88</v>
      </c>
      <c r="D43" s="21" t="s">
        <v>88</v>
      </c>
      <c r="E43" s="21" t="s">
        <v>88</v>
      </c>
      <c r="F43" s="21" t="s">
        <v>88</v>
      </c>
      <c r="G43" s="21"/>
      <c r="H43" s="21"/>
      <c r="I43" s="21"/>
      <c r="J43" s="21"/>
      <c r="K43" s="20">
        <v>81250</v>
      </c>
    </row>
    <row r="44" spans="1:11" ht="15.75" thickBot="1" x14ac:dyDescent="0.3">
      <c r="A44" s="19" t="s">
        <v>113</v>
      </c>
      <c r="B44" s="20">
        <v>65717</v>
      </c>
      <c r="C44" s="20">
        <v>65813</v>
      </c>
      <c r="D44" s="20">
        <v>71094</v>
      </c>
      <c r="E44" s="20">
        <v>70804</v>
      </c>
      <c r="F44" s="20">
        <v>65000</v>
      </c>
      <c r="G44" s="20">
        <v>79539</v>
      </c>
      <c r="H44" s="20">
        <v>97500</v>
      </c>
      <c r="I44" s="20">
        <v>65000</v>
      </c>
      <c r="J44" s="20">
        <v>65000</v>
      </c>
      <c r="K44" s="20">
        <v>645467</v>
      </c>
    </row>
    <row r="45" spans="1:11" ht="15.75" thickBot="1" x14ac:dyDescent="0.3">
      <c r="A45" s="19" t="s">
        <v>25</v>
      </c>
      <c r="B45" s="20">
        <v>40368</v>
      </c>
      <c r="C45" s="20">
        <v>62500</v>
      </c>
      <c r="D45" s="20">
        <v>26250</v>
      </c>
      <c r="E45" s="20">
        <v>29464</v>
      </c>
      <c r="F45" s="20">
        <v>58750</v>
      </c>
      <c r="G45" s="20">
        <v>62500</v>
      </c>
      <c r="H45" s="20">
        <v>62500</v>
      </c>
      <c r="I45" s="20">
        <v>61932</v>
      </c>
      <c r="J45" s="20">
        <v>32738</v>
      </c>
      <c r="K45" s="20">
        <v>437002</v>
      </c>
    </row>
    <row r="46" spans="1:11" ht="15.75" thickBot="1" x14ac:dyDescent="0.3">
      <c r="A46" s="19" t="s">
        <v>114</v>
      </c>
      <c r="B46" s="20">
        <v>65000</v>
      </c>
      <c r="C46" s="20">
        <v>62563</v>
      </c>
      <c r="D46" s="20">
        <v>61750</v>
      </c>
      <c r="E46" s="20">
        <v>84037</v>
      </c>
      <c r="F46" s="20">
        <v>80806</v>
      </c>
      <c r="G46" s="20">
        <v>82319</v>
      </c>
      <c r="H46" s="20">
        <v>65000</v>
      </c>
      <c r="I46" s="20">
        <v>70355</v>
      </c>
      <c r="J46" s="20">
        <v>133574</v>
      </c>
      <c r="K46" s="20">
        <v>705404</v>
      </c>
    </row>
    <row r="47" spans="1:11" ht="15.75" thickBot="1" x14ac:dyDescent="0.3">
      <c r="A47" s="19" t="s">
        <v>115</v>
      </c>
      <c r="B47" s="20">
        <v>143566</v>
      </c>
      <c r="C47" s="20">
        <v>147188</v>
      </c>
      <c r="D47" s="20">
        <v>95969</v>
      </c>
      <c r="E47" s="20">
        <v>182619</v>
      </c>
      <c r="F47" s="20">
        <v>147469</v>
      </c>
      <c r="G47" s="20">
        <v>163355</v>
      </c>
      <c r="H47" s="20">
        <v>130000</v>
      </c>
      <c r="I47" s="20">
        <v>130000</v>
      </c>
      <c r="J47" s="20">
        <v>133095</v>
      </c>
      <c r="K47" s="20">
        <v>1273261</v>
      </c>
    </row>
    <row r="48" spans="1:11" ht="15.75" thickBot="1" x14ac:dyDescent="0.3">
      <c r="A48" s="19" t="s">
        <v>26</v>
      </c>
      <c r="B48" s="20">
        <v>76471</v>
      </c>
      <c r="C48" s="20">
        <v>81250</v>
      </c>
      <c r="D48" s="20">
        <v>77188</v>
      </c>
      <c r="E48" s="20">
        <v>65387</v>
      </c>
      <c r="F48" s="20">
        <v>85313</v>
      </c>
      <c r="G48" s="20">
        <v>57516</v>
      </c>
      <c r="H48" s="20">
        <v>52989</v>
      </c>
      <c r="I48" s="20">
        <v>69432</v>
      </c>
      <c r="J48" s="20">
        <v>83958</v>
      </c>
      <c r="K48" s="20">
        <v>649504</v>
      </c>
    </row>
    <row r="49" spans="1:11" ht="15.75" thickBot="1" x14ac:dyDescent="0.3">
      <c r="A49" s="19" t="s">
        <v>27</v>
      </c>
      <c r="B49" s="20">
        <v>65000</v>
      </c>
      <c r="C49" s="20">
        <v>89375</v>
      </c>
      <c r="D49" s="20">
        <v>81250</v>
      </c>
      <c r="E49" s="20">
        <v>65000</v>
      </c>
      <c r="F49" s="20">
        <v>80031</v>
      </c>
      <c r="G49" s="20">
        <v>89803</v>
      </c>
      <c r="H49" s="20">
        <v>81250</v>
      </c>
      <c r="I49" s="20">
        <v>82173</v>
      </c>
      <c r="J49" s="20">
        <v>82024</v>
      </c>
      <c r="K49" s="20">
        <v>715906</v>
      </c>
    </row>
    <row r="50" spans="1:11" ht="15.75" thickBot="1" x14ac:dyDescent="0.3">
      <c r="A50" s="19" t="s">
        <v>116</v>
      </c>
      <c r="B50" s="20">
        <v>116618</v>
      </c>
      <c r="C50" s="20">
        <v>108875</v>
      </c>
      <c r="D50" s="20">
        <v>125125</v>
      </c>
      <c r="E50" s="20">
        <v>109546</v>
      </c>
      <c r="F50" s="20">
        <v>116963</v>
      </c>
      <c r="G50" s="20">
        <v>119737</v>
      </c>
      <c r="H50" s="20">
        <v>95027</v>
      </c>
      <c r="I50" s="20">
        <v>85682</v>
      </c>
      <c r="J50" s="20">
        <v>86345</v>
      </c>
      <c r="K50" s="20">
        <v>963918</v>
      </c>
    </row>
    <row r="51" spans="1:11" ht="15.75" thickBot="1" x14ac:dyDescent="0.3">
      <c r="A51" s="19" t="s">
        <v>28</v>
      </c>
      <c r="B51" s="20">
        <v>76471</v>
      </c>
      <c r="C51" s="20">
        <v>79625</v>
      </c>
      <c r="D51" s="20">
        <v>56875</v>
      </c>
      <c r="E51" s="20">
        <v>92136</v>
      </c>
      <c r="F51" s="20">
        <v>80438</v>
      </c>
      <c r="G51" s="20">
        <v>66069</v>
      </c>
      <c r="H51" s="20">
        <v>77717</v>
      </c>
      <c r="I51" s="20">
        <v>79034</v>
      </c>
      <c r="J51" s="20">
        <v>83571</v>
      </c>
      <c r="K51" s="20">
        <v>691936</v>
      </c>
    </row>
    <row r="52" spans="1:11" ht="15.75" thickBot="1" x14ac:dyDescent="0.3">
      <c r="A52" s="19" t="s">
        <v>117</v>
      </c>
      <c r="B52" s="20">
        <v>143382</v>
      </c>
      <c r="C52" s="20">
        <v>110666</v>
      </c>
      <c r="D52" s="20">
        <v>83281</v>
      </c>
      <c r="E52" s="20">
        <v>110346</v>
      </c>
      <c r="F52" s="20">
        <v>95672</v>
      </c>
      <c r="G52" s="20">
        <v>85526</v>
      </c>
      <c r="H52" s="20">
        <v>80014</v>
      </c>
      <c r="I52" s="20">
        <v>89929</v>
      </c>
      <c r="J52" s="20">
        <v>78633</v>
      </c>
      <c r="K52" s="20">
        <v>877449</v>
      </c>
    </row>
    <row r="53" spans="1:11" ht="15.75" thickBot="1" x14ac:dyDescent="0.3">
      <c r="A53" s="19" t="s">
        <v>118</v>
      </c>
      <c r="B53" s="21"/>
      <c r="C53" s="20">
        <v>67031</v>
      </c>
      <c r="D53" s="20">
        <v>95266</v>
      </c>
      <c r="E53" s="20">
        <v>80863</v>
      </c>
      <c r="F53" s="20">
        <v>89578</v>
      </c>
      <c r="G53" s="20">
        <v>108405</v>
      </c>
      <c r="H53" s="20">
        <v>82663</v>
      </c>
      <c r="I53" s="20">
        <v>87344</v>
      </c>
      <c r="J53" s="20">
        <v>75253</v>
      </c>
      <c r="K53" s="20">
        <v>686403</v>
      </c>
    </row>
    <row r="54" spans="1:11" ht="15.75" thickBot="1" x14ac:dyDescent="0.3">
      <c r="A54" s="19" t="s">
        <v>119</v>
      </c>
      <c r="B54" s="21"/>
      <c r="C54" s="21"/>
      <c r="D54" s="21"/>
      <c r="E54" s="21"/>
      <c r="F54" s="21"/>
      <c r="G54" s="21"/>
      <c r="H54" s="21"/>
      <c r="I54" s="20">
        <v>21406</v>
      </c>
      <c r="J54" s="21"/>
      <c r="K54" s="20">
        <v>21406</v>
      </c>
    </row>
    <row r="55" spans="1:11" ht="15.75" thickBot="1" x14ac:dyDescent="0.3">
      <c r="A55" s="19" t="s">
        <v>30</v>
      </c>
      <c r="B55" s="20">
        <v>129375</v>
      </c>
      <c r="C55" s="20">
        <v>126469</v>
      </c>
      <c r="D55" s="20">
        <v>108859</v>
      </c>
      <c r="E55" s="20">
        <v>100357</v>
      </c>
      <c r="F55" s="20">
        <v>117188</v>
      </c>
      <c r="G55" s="20">
        <v>116974</v>
      </c>
      <c r="H55" s="20">
        <v>90870</v>
      </c>
      <c r="I55" s="20">
        <v>100568</v>
      </c>
      <c r="J55" s="20">
        <v>86235</v>
      </c>
      <c r="K55" s="20">
        <v>976895</v>
      </c>
    </row>
    <row r="56" spans="1:11" ht="15.75" thickBot="1" x14ac:dyDescent="0.3">
      <c r="A56" s="19" t="s">
        <v>120</v>
      </c>
      <c r="B56" s="20">
        <v>49963</v>
      </c>
      <c r="C56" s="20">
        <v>62500</v>
      </c>
      <c r="D56" s="20">
        <v>77202</v>
      </c>
      <c r="E56" s="21"/>
      <c r="F56" s="21"/>
      <c r="G56" s="21"/>
      <c r="H56" s="21"/>
      <c r="I56" s="21"/>
      <c r="J56" s="21"/>
      <c r="K56" s="20">
        <v>189665</v>
      </c>
    </row>
    <row r="57" spans="1:11" ht="15.75" thickBot="1" x14ac:dyDescent="0.3">
      <c r="A57" s="19" t="s">
        <v>31</v>
      </c>
      <c r="B57" s="21"/>
      <c r="C57" s="21"/>
      <c r="D57" s="21"/>
      <c r="E57" s="21"/>
      <c r="F57" s="21"/>
      <c r="G57" s="21"/>
      <c r="H57" s="21"/>
      <c r="I57" s="20">
        <v>24375</v>
      </c>
      <c r="J57" s="21"/>
      <c r="K57" s="20">
        <v>24375</v>
      </c>
    </row>
    <row r="58" spans="1:11" ht="15.75" thickBot="1" x14ac:dyDescent="0.3">
      <c r="A58" s="19" t="s">
        <v>121</v>
      </c>
      <c r="B58" s="21"/>
      <c r="C58" s="21"/>
      <c r="D58" s="21"/>
      <c r="E58" s="21"/>
      <c r="F58" s="21"/>
      <c r="G58" s="21"/>
      <c r="H58" s="21"/>
      <c r="I58" s="21"/>
      <c r="J58" s="20">
        <v>67560</v>
      </c>
      <c r="K58" s="20">
        <v>67560</v>
      </c>
    </row>
    <row r="59" spans="1:11" ht="15.75" thickBot="1" x14ac:dyDescent="0.3">
      <c r="A59" s="19" t="s">
        <v>122</v>
      </c>
      <c r="B59" s="20">
        <v>81250</v>
      </c>
      <c r="C59" s="20">
        <v>83688</v>
      </c>
      <c r="D59" s="20">
        <v>81250</v>
      </c>
      <c r="E59" s="20">
        <v>81637</v>
      </c>
      <c r="F59" s="20">
        <v>82063</v>
      </c>
      <c r="G59" s="20">
        <v>95576</v>
      </c>
      <c r="H59" s="20">
        <v>74185</v>
      </c>
      <c r="I59" s="20">
        <v>85128</v>
      </c>
      <c r="J59" s="20">
        <v>82991</v>
      </c>
      <c r="K59" s="20">
        <v>747768</v>
      </c>
    </row>
    <row r="60" spans="1:11" ht="15.75" thickBot="1" x14ac:dyDescent="0.3">
      <c r="A60" s="19" t="s">
        <v>123</v>
      </c>
      <c r="B60" s="20">
        <v>86029</v>
      </c>
      <c r="C60" s="20">
        <v>81250</v>
      </c>
      <c r="D60" s="20">
        <v>81250</v>
      </c>
      <c r="E60" s="20">
        <v>84345</v>
      </c>
      <c r="F60" s="20">
        <v>84500</v>
      </c>
      <c r="G60" s="20">
        <v>96645</v>
      </c>
      <c r="H60" s="20">
        <v>80897</v>
      </c>
      <c r="I60" s="20">
        <v>75526</v>
      </c>
      <c r="J60" s="20">
        <v>84732</v>
      </c>
      <c r="K60" s="20">
        <v>755174</v>
      </c>
    </row>
    <row r="61" spans="1:11" ht="15.75" thickBot="1" x14ac:dyDescent="0.3">
      <c r="A61" s="19" t="s">
        <v>32</v>
      </c>
      <c r="B61" s="21"/>
      <c r="C61" s="21"/>
      <c r="D61" s="21"/>
      <c r="E61" s="20">
        <v>28810</v>
      </c>
      <c r="F61" s="20">
        <v>68000</v>
      </c>
      <c r="G61" s="20">
        <v>80395</v>
      </c>
      <c r="H61" s="20">
        <v>74185</v>
      </c>
      <c r="I61" s="20">
        <v>59091</v>
      </c>
      <c r="J61" s="20">
        <v>64420</v>
      </c>
      <c r="K61" s="20">
        <v>374901</v>
      </c>
    </row>
    <row r="62" spans="1:11" ht="15.75" thickBot="1" x14ac:dyDescent="0.3">
      <c r="A62" s="19" t="s">
        <v>33</v>
      </c>
      <c r="B62" s="20">
        <v>81250</v>
      </c>
      <c r="C62" s="20">
        <v>89375</v>
      </c>
      <c r="D62" s="20">
        <v>78813</v>
      </c>
      <c r="E62" s="20">
        <v>77768</v>
      </c>
      <c r="F62" s="20">
        <v>95469</v>
      </c>
      <c r="G62" s="20">
        <v>86382</v>
      </c>
      <c r="H62" s="20">
        <v>81957</v>
      </c>
      <c r="I62" s="20">
        <v>81989</v>
      </c>
      <c r="J62" s="20">
        <v>90536</v>
      </c>
      <c r="K62" s="20">
        <v>763539</v>
      </c>
    </row>
    <row r="63" spans="1:11" ht="15.75" thickBot="1" x14ac:dyDescent="0.3">
      <c r="A63" s="19" t="s">
        <v>124</v>
      </c>
      <c r="B63" s="20">
        <v>66912</v>
      </c>
      <c r="C63" s="20">
        <v>81859</v>
      </c>
      <c r="D63" s="20">
        <v>73125</v>
      </c>
      <c r="E63" s="20">
        <v>80089</v>
      </c>
      <c r="F63" s="20">
        <v>78813</v>
      </c>
      <c r="G63" s="20">
        <v>79326</v>
      </c>
      <c r="H63" s="20">
        <v>92908</v>
      </c>
      <c r="I63" s="21"/>
      <c r="J63" s="21"/>
      <c r="K63" s="20">
        <v>553032</v>
      </c>
    </row>
    <row r="64" spans="1:11" ht="15.75" thickBot="1" x14ac:dyDescent="0.3">
      <c r="A64" s="19" t="s">
        <v>125</v>
      </c>
      <c r="B64" s="20">
        <v>113750</v>
      </c>
      <c r="C64" s="20">
        <v>106438</v>
      </c>
      <c r="D64" s="20">
        <v>94656</v>
      </c>
      <c r="E64" s="20">
        <v>41012</v>
      </c>
      <c r="F64" s="21"/>
      <c r="G64" s="21"/>
      <c r="H64" s="21"/>
      <c r="I64" s="21"/>
      <c r="J64" s="21"/>
      <c r="K64" s="20">
        <v>355856</v>
      </c>
    </row>
    <row r="65" spans="1:11" ht="15.75" thickBot="1" x14ac:dyDescent="0.3">
      <c r="A65" s="19" t="s">
        <v>54</v>
      </c>
      <c r="B65" s="21"/>
      <c r="C65" s="21"/>
      <c r="D65" s="21"/>
      <c r="E65" s="20">
        <v>55000</v>
      </c>
      <c r="F65" s="20">
        <v>72313</v>
      </c>
      <c r="G65" s="20">
        <v>77615</v>
      </c>
      <c r="H65" s="20">
        <v>67120</v>
      </c>
      <c r="I65" s="20">
        <v>66477</v>
      </c>
      <c r="J65" s="20">
        <v>76414</v>
      </c>
      <c r="K65" s="20">
        <v>414939</v>
      </c>
    </row>
    <row r="66" spans="1:11" ht="15.75" thickBot="1" x14ac:dyDescent="0.3">
      <c r="A66" s="19" t="s">
        <v>34</v>
      </c>
      <c r="B66" s="21"/>
      <c r="C66" s="21"/>
      <c r="D66" s="21"/>
      <c r="E66" s="21"/>
      <c r="F66" s="21"/>
      <c r="G66" s="21"/>
      <c r="H66" s="20">
        <v>30639</v>
      </c>
      <c r="I66" s="20">
        <v>60455</v>
      </c>
      <c r="J66" s="20">
        <v>72738</v>
      </c>
      <c r="K66" s="20">
        <v>163832</v>
      </c>
    </row>
    <row r="67" spans="1:11" ht="15.75" thickBot="1" x14ac:dyDescent="0.3">
      <c r="A67" s="19" t="s">
        <v>126</v>
      </c>
      <c r="B67" s="20">
        <v>97500</v>
      </c>
      <c r="C67" s="20">
        <v>77188</v>
      </c>
      <c r="D67" s="20">
        <v>52203</v>
      </c>
      <c r="E67" s="20">
        <v>82024</v>
      </c>
      <c r="F67" s="20">
        <v>83281</v>
      </c>
      <c r="G67" s="20">
        <v>55592</v>
      </c>
      <c r="H67" s="20">
        <v>10598</v>
      </c>
      <c r="I67" s="20">
        <v>81250</v>
      </c>
      <c r="J67" s="20">
        <v>88601</v>
      </c>
      <c r="K67" s="20">
        <v>628237</v>
      </c>
    </row>
    <row r="68" spans="1:11" ht="15.75" thickBot="1" x14ac:dyDescent="0.3">
      <c r="A68" s="19" t="s">
        <v>127</v>
      </c>
      <c r="B68" s="20">
        <v>81250</v>
      </c>
      <c r="C68" s="20">
        <v>77188</v>
      </c>
      <c r="D68" s="20">
        <v>60938</v>
      </c>
      <c r="E68" s="20">
        <v>72738</v>
      </c>
      <c r="F68" s="20">
        <v>66422</v>
      </c>
      <c r="G68" s="20">
        <v>80822</v>
      </c>
      <c r="H68" s="20">
        <v>103152</v>
      </c>
      <c r="I68" s="21"/>
      <c r="J68" s="21"/>
      <c r="K68" s="20">
        <v>542510</v>
      </c>
    </row>
    <row r="69" spans="1:11" ht="15.75" thickBot="1" x14ac:dyDescent="0.3">
      <c r="A69" s="19" t="s">
        <v>35</v>
      </c>
      <c r="B69" s="21"/>
      <c r="C69" s="21"/>
      <c r="D69" s="21"/>
      <c r="E69" s="21"/>
      <c r="F69" s="21"/>
      <c r="G69" s="21"/>
      <c r="H69" s="20">
        <v>44478</v>
      </c>
      <c r="I69" s="20">
        <v>53977</v>
      </c>
      <c r="J69" s="20">
        <v>63542</v>
      </c>
      <c r="K69" s="20">
        <v>161997</v>
      </c>
    </row>
    <row r="70" spans="1:11" ht="15.75" thickBot="1" x14ac:dyDescent="0.3">
      <c r="A70" s="19" t="s">
        <v>36</v>
      </c>
      <c r="B70" s="20">
        <v>81250</v>
      </c>
      <c r="C70" s="20">
        <v>81250</v>
      </c>
      <c r="D70" s="20">
        <v>77188</v>
      </c>
      <c r="E70" s="20">
        <v>82411</v>
      </c>
      <c r="F70" s="20">
        <v>83891</v>
      </c>
      <c r="G70" s="20">
        <v>105839</v>
      </c>
      <c r="H70" s="20">
        <v>81427</v>
      </c>
      <c r="I70" s="20">
        <v>81250</v>
      </c>
      <c r="J70" s="20">
        <v>85893</v>
      </c>
      <c r="K70" s="20">
        <v>760399</v>
      </c>
    </row>
    <row r="71" spans="1:11" ht="15.75" thickBot="1" x14ac:dyDescent="0.3">
      <c r="A71" s="19" t="s">
        <v>128</v>
      </c>
      <c r="B71" s="20">
        <v>81250</v>
      </c>
      <c r="C71" s="20">
        <v>81250</v>
      </c>
      <c r="D71" s="20">
        <v>77188</v>
      </c>
      <c r="E71" s="20">
        <v>65000</v>
      </c>
      <c r="F71" s="20">
        <v>85313</v>
      </c>
      <c r="G71" s="20">
        <v>89803</v>
      </c>
      <c r="H71" s="20">
        <v>81250</v>
      </c>
      <c r="I71" s="21"/>
      <c r="J71" s="21"/>
      <c r="K71" s="20">
        <v>561054</v>
      </c>
    </row>
    <row r="72" spans="1:11" ht="15.75" thickBot="1" x14ac:dyDescent="0.3">
      <c r="A72" s="19" t="s">
        <v>37</v>
      </c>
      <c r="B72" s="20">
        <v>81250</v>
      </c>
      <c r="C72" s="20">
        <v>76781</v>
      </c>
      <c r="D72" s="20">
        <v>84094</v>
      </c>
      <c r="E72" s="20">
        <v>85506</v>
      </c>
      <c r="F72" s="20">
        <v>83688</v>
      </c>
      <c r="G72" s="20">
        <v>106053</v>
      </c>
      <c r="H72" s="20">
        <v>86196</v>
      </c>
      <c r="I72" s="20">
        <v>98793</v>
      </c>
      <c r="J72" s="20">
        <v>105045</v>
      </c>
      <c r="K72" s="20">
        <v>807406</v>
      </c>
    </row>
    <row r="73" spans="1:11" ht="15.75" thickBot="1" x14ac:dyDescent="0.3">
      <c r="A73" s="19" t="s">
        <v>129</v>
      </c>
      <c r="B73" s="20">
        <v>65000</v>
      </c>
      <c r="C73" s="20">
        <v>81250</v>
      </c>
      <c r="D73" s="20">
        <v>81250</v>
      </c>
      <c r="E73" s="20">
        <v>100595</v>
      </c>
      <c r="F73" s="21"/>
      <c r="G73" s="21"/>
      <c r="H73" s="21"/>
      <c r="I73" s="21"/>
      <c r="J73" s="21"/>
      <c r="K73" s="20">
        <v>328095</v>
      </c>
    </row>
    <row r="74" spans="1:11" ht="15.75" thickBot="1" x14ac:dyDescent="0.3">
      <c r="A74" s="19" t="s">
        <v>130</v>
      </c>
      <c r="B74" s="21"/>
      <c r="C74" s="21"/>
      <c r="D74" s="20">
        <v>37125</v>
      </c>
      <c r="E74" s="20">
        <v>56443</v>
      </c>
      <c r="F74" s="20">
        <v>22750</v>
      </c>
      <c r="G74" s="21"/>
      <c r="H74" s="21"/>
      <c r="I74" s="21"/>
      <c r="J74" s="21"/>
      <c r="K74" s="20">
        <v>116318</v>
      </c>
    </row>
    <row r="75" spans="1:11" ht="15.75" thickBot="1" x14ac:dyDescent="0.3">
      <c r="A75" s="19" t="s">
        <v>131</v>
      </c>
      <c r="B75" s="20">
        <v>81250</v>
      </c>
      <c r="C75" s="20">
        <v>77188</v>
      </c>
      <c r="D75" s="20">
        <v>81250</v>
      </c>
      <c r="E75" s="20">
        <v>85119</v>
      </c>
      <c r="F75" s="20">
        <v>81047</v>
      </c>
      <c r="G75" s="20">
        <v>75263</v>
      </c>
      <c r="H75" s="20">
        <v>81073</v>
      </c>
      <c r="I75" s="20">
        <v>81989</v>
      </c>
      <c r="J75" s="20">
        <v>92470</v>
      </c>
      <c r="K75" s="20">
        <v>736649</v>
      </c>
    </row>
    <row r="76" spans="1:11" ht="15.75" thickBot="1" x14ac:dyDescent="0.3">
      <c r="A76" s="19" t="s">
        <v>132</v>
      </c>
      <c r="B76" s="20">
        <v>107500</v>
      </c>
      <c r="C76" s="20">
        <v>131000</v>
      </c>
      <c r="D76" s="20">
        <v>107500</v>
      </c>
      <c r="E76" s="20">
        <v>120346</v>
      </c>
      <c r="F76" s="20">
        <v>167306</v>
      </c>
      <c r="G76" s="20">
        <v>107500</v>
      </c>
      <c r="H76" s="20">
        <v>106793</v>
      </c>
      <c r="I76" s="20">
        <v>107500</v>
      </c>
      <c r="J76" s="20">
        <v>123429</v>
      </c>
      <c r="K76" s="20">
        <v>1078874</v>
      </c>
    </row>
    <row r="77" spans="1:11" ht="15.75" thickBot="1" x14ac:dyDescent="0.3">
      <c r="A77" s="19" t="s">
        <v>133</v>
      </c>
      <c r="B77" s="20">
        <v>48706</v>
      </c>
      <c r="C77" s="20">
        <v>84100</v>
      </c>
      <c r="D77" s="20">
        <v>46800</v>
      </c>
      <c r="E77" s="20">
        <v>67757</v>
      </c>
      <c r="F77" s="20">
        <v>64500</v>
      </c>
      <c r="G77" s="20">
        <v>84620</v>
      </c>
      <c r="H77" s="21"/>
      <c r="I77" s="21"/>
      <c r="J77" s="21"/>
      <c r="K77" s="20">
        <v>396483</v>
      </c>
    </row>
    <row r="78" spans="1:11" ht="15.75" thickBot="1" x14ac:dyDescent="0.3">
      <c r="A78" s="19" t="s">
        <v>134</v>
      </c>
      <c r="B78" s="20">
        <v>78860</v>
      </c>
      <c r="C78" s="20">
        <v>82875</v>
      </c>
      <c r="D78" s="20">
        <v>86938</v>
      </c>
      <c r="E78" s="20">
        <v>88214</v>
      </c>
      <c r="F78" s="20">
        <v>94453</v>
      </c>
      <c r="G78" s="20">
        <v>102845</v>
      </c>
      <c r="H78" s="20">
        <v>72772</v>
      </c>
      <c r="I78" s="20">
        <v>90114</v>
      </c>
      <c r="J78" s="20">
        <v>80283</v>
      </c>
      <c r="K78" s="20">
        <v>777354</v>
      </c>
    </row>
    <row r="79" spans="1:11" ht="15.75" thickBot="1" x14ac:dyDescent="0.3">
      <c r="A79" s="19" t="s">
        <v>38</v>
      </c>
      <c r="B79" s="20">
        <v>81250</v>
      </c>
      <c r="C79" s="20">
        <v>81250</v>
      </c>
      <c r="D79" s="20">
        <v>73125</v>
      </c>
      <c r="E79" s="20">
        <v>85506</v>
      </c>
      <c r="F79" s="20">
        <v>84703</v>
      </c>
      <c r="G79" s="20">
        <v>85526</v>
      </c>
      <c r="H79" s="20">
        <v>81250</v>
      </c>
      <c r="I79" s="20">
        <v>78665</v>
      </c>
      <c r="J79" s="20">
        <v>85119</v>
      </c>
      <c r="K79" s="20">
        <v>736394</v>
      </c>
    </row>
    <row r="80" spans="1:11" ht="15.75" thickBot="1" x14ac:dyDescent="0.3">
      <c r="A80" s="19" t="s">
        <v>135</v>
      </c>
      <c r="B80" s="20">
        <v>91287</v>
      </c>
      <c r="C80" s="20">
        <v>89375</v>
      </c>
      <c r="D80" s="20">
        <v>76607</v>
      </c>
      <c r="E80" s="21"/>
      <c r="F80" s="21"/>
      <c r="G80" s="21"/>
      <c r="H80" s="21"/>
      <c r="I80" s="21"/>
      <c r="J80" s="21"/>
      <c r="K80" s="20">
        <v>257269</v>
      </c>
    </row>
    <row r="81" spans="1:14" ht="15.75" thickBot="1" x14ac:dyDescent="0.3">
      <c r="A81" s="19" t="s">
        <v>39</v>
      </c>
      <c r="B81" s="20">
        <v>81250</v>
      </c>
      <c r="C81" s="20">
        <v>93438</v>
      </c>
      <c r="D81" s="20">
        <v>81250</v>
      </c>
      <c r="E81" s="20">
        <v>89454</v>
      </c>
      <c r="F81" s="20">
        <v>83688</v>
      </c>
      <c r="G81" s="20">
        <v>96645</v>
      </c>
      <c r="H81" s="20">
        <v>77717</v>
      </c>
      <c r="I81" s="20">
        <v>83097</v>
      </c>
      <c r="J81" s="20">
        <v>79702</v>
      </c>
      <c r="K81" s="20">
        <v>766241</v>
      </c>
    </row>
    <row r="82" spans="1:14" ht="15.75" thickBot="1" x14ac:dyDescent="0.3">
      <c r="A82" s="19" t="s">
        <v>136</v>
      </c>
      <c r="B82" s="20">
        <v>61176</v>
      </c>
      <c r="C82" s="20">
        <v>65000</v>
      </c>
      <c r="D82" s="20">
        <v>65000</v>
      </c>
      <c r="E82" s="20">
        <v>65000</v>
      </c>
      <c r="F82" s="20">
        <v>65000</v>
      </c>
      <c r="G82" s="20">
        <v>57730</v>
      </c>
      <c r="H82" s="20">
        <v>65000</v>
      </c>
      <c r="I82" s="20">
        <v>70170</v>
      </c>
      <c r="J82" s="20">
        <v>41592</v>
      </c>
      <c r="K82" s="20">
        <v>555668</v>
      </c>
    </row>
    <row r="83" spans="1:14" ht="15.75" thickBot="1" x14ac:dyDescent="0.3">
      <c r="A83" s="19" t="s">
        <v>137</v>
      </c>
      <c r="B83" s="20">
        <v>72408</v>
      </c>
      <c r="C83" s="20">
        <v>81250</v>
      </c>
      <c r="D83" s="20">
        <v>48750</v>
      </c>
      <c r="E83" s="20">
        <v>84345</v>
      </c>
      <c r="F83" s="20">
        <v>84500</v>
      </c>
      <c r="G83" s="20">
        <v>132566</v>
      </c>
      <c r="H83" s="20">
        <v>81250</v>
      </c>
      <c r="I83" s="20">
        <v>81250</v>
      </c>
      <c r="J83" s="20">
        <v>80476</v>
      </c>
      <c r="K83" s="20">
        <v>746795</v>
      </c>
    </row>
    <row r="84" spans="1:14" ht="15.75" thickBot="1" x14ac:dyDescent="0.3">
      <c r="A84" s="19" t="s">
        <v>40</v>
      </c>
      <c r="B84" s="21"/>
      <c r="C84" s="21"/>
      <c r="D84" s="21"/>
      <c r="E84" s="21"/>
      <c r="F84" s="20">
        <v>33000</v>
      </c>
      <c r="G84" s="20">
        <v>76842</v>
      </c>
      <c r="H84" s="20">
        <v>53696</v>
      </c>
      <c r="I84" s="20">
        <v>68878</v>
      </c>
      <c r="J84" s="20">
        <v>63646</v>
      </c>
      <c r="K84" s="20">
        <v>296062</v>
      </c>
    </row>
    <row r="85" spans="1:14" ht="15.75" thickBot="1" x14ac:dyDescent="0.3">
      <c r="A85" s="22" t="s">
        <v>81</v>
      </c>
      <c r="B85" s="23">
        <v>4994897</v>
      </c>
      <c r="C85" s="23">
        <v>5130276</v>
      </c>
      <c r="D85" s="23">
        <v>4656177</v>
      </c>
      <c r="E85" s="23">
        <v>5014451</v>
      </c>
      <c r="F85" s="23">
        <v>5069803</v>
      </c>
      <c r="G85" s="23">
        <v>5496183</v>
      </c>
      <c r="H85" s="23">
        <v>4718017</v>
      </c>
      <c r="I85" s="23">
        <v>4402293</v>
      </c>
      <c r="J85" s="23">
        <v>4729930</v>
      </c>
      <c r="K85" s="23">
        <v>5496183</v>
      </c>
      <c r="L85" s="23">
        <v>5496183</v>
      </c>
      <c r="M85" s="23">
        <v>5496183</v>
      </c>
      <c r="N85" s="23">
        <f>SUM(B85:M85)</f>
        <v>60700576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мой</vt:lpstr>
      <vt:lpstr>2025г.</vt:lpstr>
      <vt:lpstr>Фот 2024г.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Лебедев</dc:creator>
  <cp:lastModifiedBy>Юлия Калабекова</cp:lastModifiedBy>
  <cp:lastPrinted>2025-01-27T12:58:11Z</cp:lastPrinted>
  <dcterms:created xsi:type="dcterms:W3CDTF">2015-06-05T18:19:34Z</dcterms:created>
  <dcterms:modified xsi:type="dcterms:W3CDTF">2025-03-20T08:16:05Z</dcterms:modified>
</cp:coreProperties>
</file>