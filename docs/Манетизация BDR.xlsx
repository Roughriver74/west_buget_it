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vgenijsikunov/Downloads/"/>
    </mc:Choice>
  </mc:AlternateContent>
  <xr:revisionPtr revIDLastSave="0" documentId="13_ncr:1_{626CB4BA-7BE9-4149-A8A8-9FC56A84E351}" xr6:coauthVersionLast="47" xr6:coauthVersionMax="47" xr10:uidLastSave="{00000000-0000-0000-0000-000000000000}"/>
  <bookViews>
    <workbookView xWindow="17140" yWindow="5100" windowWidth="42140" windowHeight="28600" activeTab="2" xr2:uid="{00000000-000D-0000-FFFF-FFFF00000000}"/>
  </bookViews>
  <sheets>
    <sheet name="Тарифные планы" sheetId="1" r:id="rId1"/>
    <sheet name="Начало" sheetId="11" r:id="rId2"/>
    <sheet name="Конкуренты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1" l="1"/>
  <c r="E83" i="11" s="1"/>
  <c r="G83" i="11"/>
  <c r="H83" i="11"/>
  <c r="D84" i="11"/>
  <c r="E84" i="11"/>
  <c r="G84" i="11"/>
  <c r="H84" i="11"/>
  <c r="D85" i="11"/>
  <c r="E85" i="11"/>
  <c r="G85" i="11"/>
  <c r="H85" i="11"/>
  <c r="D86" i="11"/>
  <c r="E86" i="11" s="1"/>
  <c r="G86" i="11"/>
  <c r="H86" i="11"/>
  <c r="D87" i="11"/>
  <c r="E87" i="11"/>
  <c r="G87" i="11"/>
  <c r="H87" i="11"/>
  <c r="D88" i="11"/>
  <c r="E88" i="11"/>
  <c r="G88" i="11"/>
  <c r="H88" i="11"/>
  <c r="D89" i="11"/>
  <c r="E89" i="11" s="1"/>
  <c r="G89" i="11"/>
  <c r="H89" i="11"/>
  <c r="G64" i="11"/>
  <c r="H64" i="11"/>
  <c r="I64" i="11"/>
  <c r="G66" i="11"/>
  <c r="I66" i="11" s="1"/>
  <c r="H66" i="11"/>
  <c r="G68" i="11"/>
  <c r="H68" i="11"/>
  <c r="I68" i="11"/>
  <c r="G71" i="11"/>
  <c r="H71" i="11"/>
  <c r="I71" i="11"/>
  <c r="G72" i="11"/>
  <c r="H72" i="11"/>
  <c r="H75" i="11" s="1"/>
  <c r="I72" i="11"/>
  <c r="I75" i="11" s="1"/>
  <c r="G73" i="11"/>
  <c r="H73" i="11"/>
  <c r="I73" i="11"/>
  <c r="G74" i="11"/>
  <c r="H74" i="11"/>
  <c r="I74" i="11"/>
  <c r="E4" i="11"/>
  <c r="G4" i="11" s="1"/>
  <c r="H4" i="11"/>
  <c r="E5" i="11"/>
  <c r="G5" i="11" s="1"/>
  <c r="H5" i="11"/>
  <c r="E6" i="11"/>
  <c r="G6" i="11" s="1"/>
  <c r="H6" i="11"/>
  <c r="E8" i="11"/>
  <c r="G8" i="11"/>
  <c r="H8" i="11"/>
  <c r="I6" i="11" l="1"/>
  <c r="J6" i="11" s="1"/>
  <c r="I5" i="11"/>
  <c r="J5" i="11" s="1"/>
  <c r="I8" i="11"/>
  <c r="J8" i="11" s="1"/>
  <c r="I4" i="11"/>
  <c r="J4" i="11" s="1"/>
</calcChain>
</file>

<file path=xl/sharedStrings.xml><?xml version="1.0" encoding="utf-8"?>
<sst xmlns="http://schemas.openxmlformats.org/spreadsheetml/2006/main" count="591" uniqueCount="446">
  <si>
    <t>Параметр</t>
  </si>
  <si>
    <t>Базовая версия</t>
  </si>
  <si>
    <t>Advanced версия</t>
  </si>
  <si>
    <t>Enterprise версия</t>
  </si>
  <si>
    <t>Название</t>
  </si>
  <si>
    <t>"Управление бюджетом"</t>
  </si>
  <si>
    <t>"Бюджет + AI"</t>
  </si>
  <si>
    <t>"Комплексная платформа"</t>
  </si>
  <si>
    <t>Цена (лицензия)</t>
  </si>
  <si>
    <t>от 1,200,000 руб</t>
  </si>
  <si>
    <t>Цена (подписка/мес)</t>
  </si>
  <si>
    <t>15,000 руб/мес</t>
  </si>
  <si>
    <t>40,000 руб/мес</t>
  </si>
  <si>
    <t>от 100,000 руб/мес</t>
  </si>
  <si>
    <t>Годовая подписка</t>
  </si>
  <si>
    <t>150,000 руб (-17%)</t>
  </si>
  <si>
    <t>400,000 руб (-17%)</t>
  </si>
  <si>
    <t>от 1,000,000 руб</t>
  </si>
  <si>
    <t>Целевая аудитория</t>
  </si>
  <si>
    <t>100-200 сотрудников</t>
  </si>
  <si>
    <t>200-500 сотрудников</t>
  </si>
  <si>
    <t>500+ сотрудников, холдинги</t>
  </si>
  <si>
    <t>Департаменты</t>
  </si>
  <si>
    <t>1 департамент</t>
  </si>
  <si>
    <t>Несколько департаментов</t>
  </si>
  <si>
    <t>Неограниченно</t>
  </si>
  <si>
    <t>Версии бюджета</t>
  </si>
  <si>
    <t>До 3</t>
  </si>
  <si>
    <t>Неограниченно + консолидация</t>
  </si>
  <si>
    <t>AI-прогнозирование</t>
  </si>
  <si>
    <t>❌</t>
  </si>
  <si>
    <t>✅ (4 метода)</t>
  </si>
  <si>
    <t>✅ + кастомные модели</t>
  </si>
  <si>
    <t>Пользователи</t>
  </si>
  <si>
    <t>До 10</t>
  </si>
  <si>
    <t>До 50</t>
  </si>
  <si>
    <t>Безлимит</t>
  </si>
  <si>
    <t>Интеграции</t>
  </si>
  <si>
    <t>Базовая (1С, Excel)</t>
  </si>
  <si>
    <t>Расширенная</t>
  </si>
  <si>
    <t>API + любые системы</t>
  </si>
  <si>
    <t>Кредитный портфель</t>
  </si>
  <si>
    <t>✅</t>
  </si>
  <si>
    <t>Техподдержка</t>
  </si>
  <si>
    <t>Standard</t>
  </si>
  <si>
    <t>Priority (SLA 4ч)</t>
  </si>
  <si>
    <t>Premium 24/7 (SLA 1ч)</t>
  </si>
  <si>
    <t>Внедрение</t>
  </si>
  <si>
    <t>+150,000 руб</t>
  </si>
  <si>
    <t>+400,000 руб</t>
  </si>
  <si>
    <t>от +1,000,000 руб</t>
  </si>
  <si>
    <t>Общий проект (год 1)</t>
  </si>
  <si>
    <t>~350,000 руб</t>
  </si>
  <si>
    <t>~1,000,000 руб</t>
  </si>
  <si>
    <t>от 2,500,000 руб</t>
  </si>
  <si>
    <t>TCO за 3 года</t>
  </si>
  <si>
    <t>~500,000 руб</t>
  </si>
  <si>
    <t>~1,500,000 руб</t>
  </si>
  <si>
    <t>от 4,000,000 руб</t>
  </si>
  <si>
    <t>Модели монетизации: Подписка vs Лицензия</t>
  </si>
  <si>
    <t>Критерий</t>
  </si>
  <si>
    <t>Подписка (SaaS)</t>
  </si>
  <si>
    <t>Лицензия (On-Premise)</t>
  </si>
  <si>
    <t>Целевой сегмент</t>
  </si>
  <si>
    <t>Малый/средний бизнес (100-500)</t>
  </si>
  <si>
    <t>Крупный бизнес, холдинги (500+)</t>
  </si>
  <si>
    <t>Первоначальные затраты</t>
  </si>
  <si>
    <t>Низкие (от 15,000 руб/мес)</t>
  </si>
  <si>
    <t>Высокие (от 150,000 руб)</t>
  </si>
  <si>
    <t>Ежегодные платежи</t>
  </si>
  <si>
    <t>12 × месячная подписка</t>
  </si>
  <si>
    <t>15-20% от стоимости лицензии</t>
  </si>
  <si>
    <t>Контроль данных</t>
  </si>
  <si>
    <t>Облако (ограниченный)</t>
  </si>
  <si>
    <t>Полный (on-premise)</t>
  </si>
  <si>
    <t>Обновления</t>
  </si>
  <si>
    <t>Автоматические, включены</t>
  </si>
  <si>
    <t>Включены в поддержку</t>
  </si>
  <si>
    <t>Масштабирование</t>
  </si>
  <si>
    <t>Гибкое (добавил пользователя)</t>
  </si>
  <si>
    <t>Требует покупки лицензий</t>
  </si>
  <si>
    <t>Быстрое (2-3 недели)</t>
  </si>
  <si>
    <t>Дольше (1-3 месяца)</t>
  </si>
  <si>
    <t>Кастомизация</t>
  </si>
  <si>
    <t>Ограниченная</t>
  </si>
  <si>
    <t>Глубокая</t>
  </si>
  <si>
    <t>Доступ с любого устройства</t>
  </si>
  <si>
    <t>Зависит от настройки</t>
  </si>
  <si>
    <t>Соответствие КИИ</t>
  </si>
  <si>
    <t>❌ (публичное облако)</t>
  </si>
  <si>
    <t>Окупаемость для вендора</t>
  </si>
  <si>
    <t>18-24 месяца</t>
  </si>
  <si>
    <t>3-6 месяцев</t>
  </si>
  <si>
    <t>LTV (Lifetime Value)</t>
  </si>
  <si>
    <t>Выше (recurring)</t>
  </si>
  <si>
    <t>Ниже (разовая + поддержка)</t>
  </si>
  <si>
    <t>Доля рынка</t>
  </si>
  <si>
    <t>60-70% (растет)</t>
  </si>
  <si>
    <t>30-40% (снижается)</t>
  </si>
  <si>
    <t>Ценообразование по сегментам</t>
  </si>
  <si>
    <t>Размер компании</t>
  </si>
  <si>
    <t>Сотрудников</t>
  </si>
  <si>
    <t>Рекомендуемый план</t>
  </si>
  <si>
    <t>Средний чек (год 1)</t>
  </si>
  <si>
    <t>Средний чек (год 2-3)</t>
  </si>
  <si>
    <t>Кол-во потенциальных клиентов</t>
  </si>
  <si>
    <t>Рыночный потенциал</t>
  </si>
  <si>
    <t>Малый бизнес</t>
  </si>
  <si>
    <t>100-200</t>
  </si>
  <si>
    <t>Базовая (подписка)</t>
  </si>
  <si>
    <t>200,000 руб/год</t>
  </si>
  <si>
    <t>1 млрд руб</t>
  </si>
  <si>
    <t>Средний бизнес</t>
  </si>
  <si>
    <t>200-500</t>
  </si>
  <si>
    <t>Advanced (подписка/лицензия)</t>
  </si>
  <si>
    <t>500,000 руб/год</t>
  </si>
  <si>
    <t>5 млрд руб</t>
  </si>
  <si>
    <t>Крупный бизнес</t>
  </si>
  <si>
    <t>500-1000</t>
  </si>
  <si>
    <t>Enterprise (лицензия)</t>
  </si>
  <si>
    <t>600,000 руб/год</t>
  </si>
  <si>
    <t>9 млрд руб</t>
  </si>
  <si>
    <t>Холдинги</t>
  </si>
  <si>
    <t>1000+</t>
  </si>
  <si>
    <t>Enterprise Premium</t>
  </si>
  <si>
    <t>1,500,000 руб/год</t>
  </si>
  <si>
    <t>7 млрд руб</t>
  </si>
  <si>
    <t>Банки/Финансы</t>
  </si>
  <si>
    <t>200+</t>
  </si>
  <si>
    <t>Enterprise + Кредиты</t>
  </si>
  <si>
    <t>1,000,000 руб/год</t>
  </si>
  <si>
    <t>750 млн руб</t>
  </si>
  <si>
    <t>ИТОГО</t>
  </si>
  <si>
    <t>-</t>
  </si>
  <si>
    <t>22,75 млрд руб</t>
  </si>
  <si>
    <t>Дополнительные источники дохода</t>
  </si>
  <si>
    <t>Источник</t>
  </si>
  <si>
    <t>Модель оплаты</t>
  </si>
  <si>
    <t>Средний чек</t>
  </si>
  <si>
    <t>Маржинальность</t>
  </si>
  <si>
    <t>Доля в выручке</t>
  </si>
  <si>
    <t>% от лицензии или включена в подписку</t>
  </si>
  <si>
    <t>15-30% годовых</t>
  </si>
  <si>
    <t>Все клиенты на лицензии</t>
  </si>
  <si>
    <t>80-90%</t>
  </si>
  <si>
    <t>20-25%</t>
  </si>
  <si>
    <t>Внедрение базовое</t>
  </si>
  <si>
    <t>Разовая оплата</t>
  </si>
  <si>
    <t>150,000 руб</t>
  </si>
  <si>
    <t>Малый/средний бизнес</t>
  </si>
  <si>
    <t>40-50%</t>
  </si>
  <si>
    <t>10-15%</t>
  </si>
  <si>
    <t>Внедрение стандартное</t>
  </si>
  <si>
    <t>400,000 руб</t>
  </si>
  <si>
    <t>45-55%</t>
  </si>
  <si>
    <t>15-20%</t>
  </si>
  <si>
    <t>Внедрение enterprise</t>
  </si>
  <si>
    <t>1,000,000+ руб</t>
  </si>
  <si>
    <t>Крупный бизнес, холдинги</t>
  </si>
  <si>
    <t>50-60%</t>
  </si>
  <si>
    <t>20-30%</t>
  </si>
  <si>
    <t>Дополнительные модули</t>
  </si>
  <si>
    <t>Разовая или подписка</t>
  </si>
  <si>
    <t>100,000-200,000 руб</t>
  </si>
  <si>
    <t>Advanced/Enterprise</t>
  </si>
  <si>
    <t>70-80%</t>
  </si>
  <si>
    <t>5-10%</t>
  </si>
  <si>
    <t>Обучение</t>
  </si>
  <si>
    <t>За курс/день</t>
  </si>
  <si>
    <t>50,000 руб/день</t>
  </si>
  <si>
    <t>Все сегменты</t>
  </si>
  <si>
    <t>60-70%</t>
  </si>
  <si>
    <t>3-5%</t>
  </si>
  <si>
    <t>Почасовая (T&amp;M)</t>
  </si>
  <si>
    <t>5,000-8,000 руб/час</t>
  </si>
  <si>
    <t>Enterprise</t>
  </si>
  <si>
    <t>Консалтинг</t>
  </si>
  <si>
    <t>Проектная/ежемесячная</t>
  </si>
  <si>
    <t>300,000-500,000 руб</t>
  </si>
  <si>
    <t>Enterprise, банки</t>
  </si>
  <si>
    <t>55-65%</t>
  </si>
  <si>
    <t>5-8%</t>
  </si>
  <si>
    <t>За интеграцию</t>
  </si>
  <si>
    <t>50,000-150,000 руб</t>
  </si>
  <si>
    <t>Средний/крупный бизнес</t>
  </si>
  <si>
    <t>White Label</t>
  </si>
  <si>
    <t>Годовая лицензия</t>
  </si>
  <si>
    <t>2,000,000+ руб</t>
  </si>
  <si>
    <t>Партнеры, интеграторы</t>
  </si>
  <si>
    <t>2-5%</t>
  </si>
  <si>
    <t>Early Adopter стратегия (2025-2026)</t>
  </si>
  <si>
    <t>Период</t>
  </si>
  <si>
    <t>Клиенты</t>
  </si>
  <si>
    <t>Скидка на лицензию/подписку</t>
  </si>
  <si>
    <t>Бесплатные услуги</t>
  </si>
  <si>
    <t>Дополнительные бонусы</t>
  </si>
  <si>
    <t>Планируемая выручка</t>
  </si>
  <si>
    <t>Q1-Q2 2025</t>
  </si>
  <si>
    <t>Первые 10 клиентов</t>
  </si>
  <si>
    <t>-40%</t>
  </si>
  <si>
    <t>Базовое внедрение (150,000 руб)</t>
  </si>
  <si>
    <t>Фиксация цены на 3 года</t>
  </si>
  <si>
    <t>Q3-Q4 2025</t>
  </si>
  <si>
    <t>Клиенты 11-30</t>
  </si>
  <si>
    <t>-25%</t>
  </si>
  <si>
    <t>50% на внедрение</t>
  </si>
  <si>
    <t>Фиксация цены на 2 года</t>
  </si>
  <si>
    <t>Q1-Q2 2026</t>
  </si>
  <si>
    <t>Клиенты 31-60</t>
  </si>
  <si>
    <t>-15%</t>
  </si>
  <si>
    <t>Приоритет на новые фичи</t>
  </si>
  <si>
    <t>Q3 2026+</t>
  </si>
  <si>
    <t>Стандартные клиенты</t>
  </si>
  <si>
    <t>0% (полная цена)</t>
  </si>
  <si>
    <t>Сезонные акции</t>
  </si>
  <si>
    <t>Согласно плану</t>
  </si>
  <si>
    <t>Сравнение с конкурентами: Price Positioning</t>
  </si>
  <si>
    <t>Решение</t>
  </si>
  <si>
    <t>Тип</t>
  </si>
  <si>
    <t>Цена за 50 польз. (год 1)</t>
  </si>
  <si>
    <t>Интеграция с 1С</t>
  </si>
  <si>
    <t>Наша позиция</t>
  </si>
  <si>
    <t>Российское</t>
  </si>
  <si>
    <t>850,000 руб</t>
  </si>
  <si>
    <t>✅ 4 метода</t>
  </si>
  <si>
    <t>✅ Из коробки</t>
  </si>
  <si>
    <t>Включена</t>
  </si>
  <si>
    <t>Базовый</t>
  </si>
  <si>
    <t>ИНТАЛЕВ</t>
  </si>
  <si>
    <t>1,700,000 руб</t>
  </si>
  <si>
    <t>+15-20% годовых</t>
  </si>
  <si>
    <t>+100% дороже</t>
  </si>
  <si>
    <t>ИТАН</t>
  </si>
  <si>
    <t>1,200,000 руб</t>
  </si>
  <si>
    <t>+15% годовых</t>
  </si>
  <si>
    <t>+41% дороже</t>
  </si>
  <si>
    <t>WA:Финансист</t>
  </si>
  <si>
    <t>600,000 руб</t>
  </si>
  <si>
    <t>✅ Отдельная БД</t>
  </si>
  <si>
    <t>+18% годовых</t>
  </si>
  <si>
    <t>-29% дешевле</t>
  </si>
  <si>
    <t>ФинГрад (SaaS)</t>
  </si>
  <si>
    <t>630,000 руб</t>
  </si>
  <si>
    <t>-26% дешевле</t>
  </si>
  <si>
    <t>Budgetum</t>
  </si>
  <si>
    <t>✅ 6+ методов</t>
  </si>
  <si>
    <t>Конкурент по AI</t>
  </si>
  <si>
    <t>Oracle Hyperion</t>
  </si>
  <si>
    <t>Западное (нет)</t>
  </si>
  <si>
    <t>15,000,000+ руб</t>
  </si>
  <si>
    <t>Требует коннекторы</t>
  </si>
  <si>
    <t>Нет с 2022</t>
  </si>
  <si>
    <t>-94% дешевле</t>
  </si>
  <si>
    <t>SAP BPC</t>
  </si>
  <si>
    <t>10-15 млн руб</t>
  </si>
  <si>
    <t>До 2027</t>
  </si>
  <si>
    <t>-93% дешевле</t>
  </si>
  <si>
    <t>1С:ERP</t>
  </si>
  <si>
    <t>✅ Нативно</t>
  </si>
  <si>
    <t>+20% годовых</t>
  </si>
  <si>
    <t>-57% дешевле</t>
  </si>
  <si>
    <t>Общая выручка</t>
  </si>
  <si>
    <t>Структура себестоимости и маржинальность</t>
  </si>
  <si>
    <t>Статья затрат</t>
  </si>
  <si>
    <t>Малый бизнес (Базовая)</t>
  </si>
  <si>
    <t>Средний бизнес (Advanced)</t>
  </si>
  <si>
    <t>Крупный бизнес (Enterprise)</t>
  </si>
  <si>
    <t>Разработка (амортизация)</t>
  </si>
  <si>
    <t>Инфраструктура (cloud)</t>
  </si>
  <si>
    <t>Продажи (CAC)</t>
  </si>
  <si>
    <t>Внедрение (себестоимость)</t>
  </si>
  <si>
    <t>Техподдержка (год 1)</t>
  </si>
  <si>
    <t>Накладные расходы (15%)</t>
  </si>
  <si>
    <t>Общая себестоимость</t>
  </si>
  <si>
    <t>Валовая прибыль</t>
  </si>
  <si>
    <t>Маржинальность (год 1)</t>
  </si>
  <si>
    <t>32.6%</t>
  </si>
  <si>
    <t>46.5%</t>
  </si>
  <si>
    <t>55.7%</t>
  </si>
  <si>
    <t>Средняя: 45-50%</t>
  </si>
  <si>
    <t>Маржинальность (год 2+)</t>
  </si>
  <si>
    <t>70-75%</t>
  </si>
  <si>
    <t>75-80%</t>
  </si>
  <si>
    <t>Recurring высокая</t>
  </si>
  <si>
    <t>Break-even анализ</t>
  </si>
  <si>
    <t>Сценарий</t>
  </si>
  <si>
    <t>Фиксированные затраты (год)</t>
  </si>
  <si>
    <t>Переменные затраты на клиента</t>
  </si>
  <si>
    <t>Маржинальный доход</t>
  </si>
  <si>
    <t>Клиентов для окупаемости</t>
  </si>
  <si>
    <t>Выручка для окупаемости</t>
  </si>
  <si>
    <t>Минимальный</t>
  </si>
  <si>
    <t>60 клиентов</t>
  </si>
  <si>
    <t>66 клиентов</t>
  </si>
  <si>
    <t>Оптимистичный</t>
  </si>
  <si>
    <t>74 клиента</t>
  </si>
  <si>
    <t>Unit Economics по когортам</t>
  </si>
  <si>
    <t>Метрика</t>
  </si>
  <si>
    <t>CAC (Customer Acquisition Cost)</t>
  </si>
  <si>
    <t>Recurring (год 2+)</t>
  </si>
  <si>
    <t>150,000 руб/год</t>
  </si>
  <si>
    <t>400,000 руб/год</t>
  </si>
  <si>
    <t>800,000 руб/год</t>
  </si>
  <si>
    <t>Avg. Customer Lifetime</t>
  </si>
  <si>
    <t>3 года</t>
  </si>
  <si>
    <t>5 лет</t>
  </si>
  <si>
    <t>7 лет</t>
  </si>
  <si>
    <t>LTV/CAC ratio</t>
  </si>
  <si>
    <t>11.4x</t>
  </si>
  <si>
    <t>17.3x</t>
  </si>
  <si>
    <t>19.1x</t>
  </si>
  <si>
    <t>Payback Period</t>
  </si>
  <si>
    <t>4 месяца</t>
  </si>
  <si>
    <t>2 месяца</t>
  </si>
  <si>
    <t>Churn Rate (годовой)</t>
  </si>
  <si>
    <t>10-12%</t>
  </si>
  <si>
    <t>Net Revenue Retention</t>
  </si>
  <si>
    <t>90-100%</t>
  </si>
  <si>
    <t>110-120%</t>
  </si>
  <si>
    <t>120-140%</t>
  </si>
  <si>
    <t>Варианты монетизации Budget Manager: Основные тарифные планы</t>
  </si>
  <si>
    <t>Budget Manager</t>
  </si>
  <si>
    <t>Крупный бизнес, референс</t>
  </si>
  <si>
    <t>40%</t>
  </si>
  <si>
    <t>ENTERPRISE PILOT</t>
  </si>
  <si>
    <t>Средний бизнес, активный</t>
  </si>
  <si>
    <t>25%</t>
  </si>
  <si>
    <t>SCALE (Клиенты 16-30)</t>
  </si>
  <si>
    <t>Средний бизнес, до 3 отделов</t>
  </si>
  <si>
    <t>GROWTH (Клиенты 6-15)</t>
  </si>
  <si>
    <t>Малый бизнес, 1 отдел</t>
  </si>
  <si>
    <t>50%</t>
  </si>
  <si>
    <t>STARTER (Первые 5 клиентов)</t>
  </si>
  <si>
    <t>Для кого</t>
  </si>
  <si>
    <t>Маржа %</t>
  </si>
  <si>
    <t>Маржа</t>
  </si>
  <si>
    <t>Себестоимость</t>
  </si>
  <si>
    <t>Цена со скидкой</t>
  </si>
  <si>
    <t>Скидка</t>
  </si>
  <si>
    <t>Полная цена</t>
  </si>
  <si>
    <t>Поддержка (год)</t>
  </si>
  <si>
    <t>Лицензия</t>
  </si>
  <si>
    <t>Пакет</t>
  </si>
  <si>
    <t>Варианты пакетов "Внедрение + Поддержка" для первых клиентов</t>
  </si>
  <si>
    <t>Множественные сценарии, сравнение</t>
  </si>
  <si>
    <t>Средний</t>
  </si>
  <si>
    <t>70%</t>
  </si>
  <si>
    <t>✅ Включено</t>
  </si>
  <si>
    <t>Опция</t>
  </si>
  <si>
    <t>Сценарное планирование (what-if)</t>
  </si>
  <si>
    <t>МОДУЛЬ 7: Scenario Planning</t>
  </si>
  <si>
    <t>Согласование, просмотр</t>
  </si>
  <si>
    <t>Низкий</t>
  </si>
  <si>
    <t>60%</t>
  </si>
  <si>
    <t>Мобильное приложение (iOS/Android)</t>
  </si>
  <si>
    <t>МОДУЛЬ 6: Mobile App</t>
  </si>
  <si>
    <t>Pivot, Power BI экспорт, графики</t>
  </si>
  <si>
    <t>75%</t>
  </si>
  <si>
    <t>Продвинутая аналитика, дашборды</t>
  </si>
  <si>
    <t>МОДУЛЬ 5: Analytics Plus</t>
  </si>
  <si>
    <t>REST API, webhooks, Zapier</t>
  </si>
  <si>
    <t>Высокий</t>
  </si>
  <si>
    <t>65%</t>
  </si>
  <si>
    <t>API, вебхуки, кастомные коннекторы</t>
  </si>
  <si>
    <t>МОДУЛЬ 4: Advanced Integration</t>
  </si>
  <si>
    <t>Процентные ставки, график</t>
  </si>
  <si>
    <t>Нишевый</t>
  </si>
  <si>
    <t>Кредитный портфель для банков</t>
  </si>
  <si>
    <t>МОДУЛЬ 3: Credit Portfolio</t>
  </si>
  <si>
    <t>Консолидация, распределение</t>
  </si>
  <si>
    <t>80%</t>
  </si>
  <si>
    <t>❌ 1 отдел</t>
  </si>
  <si>
    <t>Управление несколькими отделами</t>
  </si>
  <si>
    <t>МОДУЛЬ 2: Multi-Department</t>
  </si>
  <si>
    <t>Временные ряды, регрессия, ML</t>
  </si>
  <si>
    <t>AI-прогнозирование (4 метода)</t>
  </si>
  <si>
    <t>МОДУЛЬ 1: AI Forecast</t>
  </si>
  <si>
    <t>Обязательно</t>
  </si>
  <si>
    <t>Не продается</t>
  </si>
  <si>
    <t>Основа: планирование, версии, отчеты</t>
  </si>
  <si>
    <t>ЯДРО: Budget Core</t>
  </si>
  <si>
    <t>Приоритет</t>
  </si>
  <si>
    <t>Цена отдельно</t>
  </si>
  <si>
    <t>Advanced</t>
  </si>
  <si>
    <t>Базовая</t>
  </si>
  <si>
    <t>Описание</t>
  </si>
  <si>
    <t>Модуль</t>
  </si>
  <si>
    <t>Модульная структура продукта IT Budget Manager</t>
  </si>
  <si>
    <t>40,000/год</t>
  </si>
  <si>
    <t>+40% к подписке</t>
  </si>
  <si>
    <t>Scenario Planning</t>
  </si>
  <si>
    <t>25,000/год</t>
  </si>
  <si>
    <t>+30% к подписке</t>
  </si>
  <si>
    <t>Mobile App</t>
  </si>
  <si>
    <t>35,000/год</t>
  </si>
  <si>
    <t>+50% к базовой подписке</t>
  </si>
  <si>
    <t>Analytics Plus</t>
  </si>
  <si>
    <t>30,000/год</t>
  </si>
  <si>
    <t>Включено в Advanced</t>
  </si>
  <si>
    <t>Multi-Department</t>
  </si>
  <si>
    <t>AI Forecast</t>
  </si>
  <si>
    <t>Подписка (годовая)</t>
  </si>
  <si>
    <t>-25% bundle</t>
  </si>
  <si>
    <t>-20% bundle</t>
  </si>
  <si>
    <t>-30% bundle</t>
  </si>
  <si>
    <t>-25% с Enterprise</t>
  </si>
  <si>
    <t>Advanced Integration</t>
  </si>
  <si>
    <t>Credit Portfolio</t>
  </si>
  <si>
    <t>-20% с ядром</t>
  </si>
  <si>
    <t>-30% при покупке с ядром</t>
  </si>
  <si>
    <t>Разовая покупка</t>
  </si>
  <si>
    <t>Целевых продаж/год</t>
  </si>
  <si>
    <t>Bundle скидка</t>
  </si>
  <si>
    <t>Цена модуля</t>
  </si>
  <si>
    <t>Разработка</t>
  </si>
  <si>
    <t>Стратегия</t>
  </si>
  <si>
    <t>Стратегия ценообразования модулей</t>
  </si>
  <si>
    <t>ИТОГО:</t>
  </si>
  <si>
    <t>5 × SCALE (25% OFF)</t>
  </si>
  <si>
    <t>35%</t>
  </si>
  <si>
    <t>15 × GROWTH (35% OFF)</t>
  </si>
  <si>
    <t>10 × STARTER (50% OFF)</t>
  </si>
  <si>
    <t>10 месяцев</t>
  </si>
  <si>
    <t>По пакетам</t>
  </si>
  <si>
    <t>Гибкая стратегия</t>
  </si>
  <si>
    <t>Рекомендуемый</t>
  </si>
  <si>
    <t>8 месяцев</t>
  </si>
  <si>
    <t>30%</t>
  </si>
  <si>
    <t>Mix: 50% GROWTH, 30% SCALE, 20% ENTERPRISE</t>
  </si>
  <si>
    <t>GROWTH + 1-2 модуля</t>
  </si>
  <si>
    <t>12 месяцев</t>
  </si>
  <si>
    <t>STARTER + Модуль</t>
  </si>
  <si>
    <t>Консервативный</t>
  </si>
  <si>
    <t>Срок</t>
  </si>
  <si>
    <t>Общая маржа</t>
  </si>
  <si>
    <t>Выручка на клиента</t>
  </si>
  <si>
    <t>Средний пакет</t>
  </si>
  <si>
    <t>Клиентов</t>
  </si>
  <si>
    <t>Финансовые сценарии для первых 30 клиентов (Early Adopter)</t>
  </si>
  <si>
    <t>ROI год 1</t>
  </si>
  <si>
    <t>Выручка год 1</t>
  </si>
  <si>
    <t>План продаж (год 1)</t>
  </si>
  <si>
    <t>Break-even (продаж)</t>
  </si>
  <si>
    <t>Маржа на 1 продажу</t>
  </si>
  <si>
    <t>Затраты на разработку</t>
  </si>
  <si>
    <t>Анализ ROI разработки модулей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</si>
</sst>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руб&quot;"/>
    <numFmt numFmtId="165" formatCode="0.0%"/>
    <numFmt numFmtId="166" formatCode="#,##0&quot; ₽&quot;"/>
  </numFmts>
  <fonts count="9" x14ac:knownFonts="1">
    <font>
      <sz val="11"/>
      <color theme="1"/>
      <name val="Calibri"/>
      <family val="2"/>
      <scheme val="minor"/>
    </font>
    <font>
      <b/>
      <sz val="14"/>
      <color rgb="FF36609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mbria"/>
      <family val="1"/>
    </font>
    <font>
      <b/>
      <sz val="11"/>
      <name val="Cambria"/>
      <family val="1"/>
    </font>
    <font>
      <b/>
      <sz val="11"/>
      <color rgb="FFFFFFFF"/>
      <name val="Cambria"/>
      <family val="1"/>
    </font>
    <font>
      <b/>
      <sz val="14"/>
      <color rgb="FF36609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366092"/>
        <bgColor rgb="FF3333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  <xf numFmtId="165" fontId="0" fillId="0" borderId="1" xfId="0" applyNumberFormat="1" applyBorder="1" applyAlignment="1">
      <alignment horizontal="left" vertical="center" wrapText="1"/>
    </xf>
    <xf numFmtId="166" fontId="0" fillId="0" borderId="1" xfId="0" applyNumberFormat="1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9" fontId="0" fillId="0" borderId="1" xfId="0" applyNumberForma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topLeftCell="A15" zoomScale="165" workbookViewId="0">
      <selection activeCell="G21" sqref="G21"/>
    </sheetView>
  </sheetViews>
  <sheetFormatPr baseColWidth="10" defaultColWidth="8.83203125" defaultRowHeight="15" x14ac:dyDescent="0.2"/>
  <cols>
    <col min="1" max="4" width="25" customWidth="1"/>
    <col min="5" max="6" width="15.83203125" customWidth="1"/>
    <col min="7" max="7" width="18.6640625" customWidth="1"/>
  </cols>
  <sheetData>
    <row r="1" spans="1:4" ht="19" x14ac:dyDescent="0.25">
      <c r="A1" s="7" t="s">
        <v>320</v>
      </c>
      <c r="B1" s="8"/>
      <c r="C1" s="8"/>
      <c r="D1" s="8"/>
    </row>
    <row r="3" spans="1:4" ht="16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ht="16" x14ac:dyDescent="0.2">
      <c r="A4" s="2" t="s">
        <v>4</v>
      </c>
      <c r="B4" s="3" t="s">
        <v>5</v>
      </c>
      <c r="C4" s="3" t="s">
        <v>6</v>
      </c>
      <c r="D4" s="3" t="s">
        <v>7</v>
      </c>
    </row>
    <row r="5" spans="1:4" ht="16" x14ac:dyDescent="0.2">
      <c r="A5" s="2" t="s">
        <v>8</v>
      </c>
      <c r="B5" s="4">
        <v>150000</v>
      </c>
      <c r="C5" s="4">
        <v>450000</v>
      </c>
      <c r="D5" s="3" t="s">
        <v>9</v>
      </c>
    </row>
    <row r="6" spans="1:4" ht="16" x14ac:dyDescent="0.2">
      <c r="A6" s="2" t="s">
        <v>10</v>
      </c>
      <c r="B6" s="3" t="s">
        <v>11</v>
      </c>
      <c r="C6" s="3" t="s">
        <v>12</v>
      </c>
      <c r="D6" s="3" t="s">
        <v>13</v>
      </c>
    </row>
    <row r="7" spans="1:4" ht="16" x14ac:dyDescent="0.2">
      <c r="A7" s="2" t="s">
        <v>14</v>
      </c>
      <c r="B7" s="3" t="s">
        <v>15</v>
      </c>
      <c r="C7" s="3" t="s">
        <v>16</v>
      </c>
      <c r="D7" s="3" t="s">
        <v>17</v>
      </c>
    </row>
    <row r="8" spans="1:4" ht="16" x14ac:dyDescent="0.2">
      <c r="A8" s="2" t="s">
        <v>18</v>
      </c>
      <c r="B8" s="3" t="s">
        <v>19</v>
      </c>
      <c r="C8" s="3" t="s">
        <v>20</v>
      </c>
      <c r="D8" s="3" t="s">
        <v>21</v>
      </c>
    </row>
    <row r="9" spans="1:4" ht="16" x14ac:dyDescent="0.2">
      <c r="A9" s="2" t="s">
        <v>22</v>
      </c>
      <c r="B9" s="3" t="s">
        <v>23</v>
      </c>
      <c r="C9" s="3" t="s">
        <v>24</v>
      </c>
      <c r="D9" s="3" t="s">
        <v>25</v>
      </c>
    </row>
    <row r="10" spans="1:4" ht="32" x14ac:dyDescent="0.2">
      <c r="A10" s="2" t="s">
        <v>26</v>
      </c>
      <c r="B10" s="3" t="s">
        <v>27</v>
      </c>
      <c r="C10" s="3" t="s">
        <v>25</v>
      </c>
      <c r="D10" s="3" t="s">
        <v>28</v>
      </c>
    </row>
    <row r="11" spans="1:4" ht="16" x14ac:dyDescent="0.2">
      <c r="A11" s="2" t="s">
        <v>29</v>
      </c>
      <c r="B11" s="3" t="s">
        <v>30</v>
      </c>
      <c r="C11" s="3" t="s">
        <v>31</v>
      </c>
      <c r="D11" s="3" t="s">
        <v>32</v>
      </c>
    </row>
    <row r="12" spans="1:4" ht="16" x14ac:dyDescent="0.2">
      <c r="A12" s="2" t="s">
        <v>33</v>
      </c>
      <c r="B12" s="3" t="s">
        <v>34</v>
      </c>
      <c r="C12" s="3" t="s">
        <v>35</v>
      </c>
      <c r="D12" s="3" t="s">
        <v>36</v>
      </c>
    </row>
    <row r="13" spans="1:4" ht="16" x14ac:dyDescent="0.2">
      <c r="A13" s="2" t="s">
        <v>37</v>
      </c>
      <c r="B13" s="3" t="s">
        <v>38</v>
      </c>
      <c r="C13" s="3" t="s">
        <v>39</v>
      </c>
      <c r="D13" s="3" t="s">
        <v>40</v>
      </c>
    </row>
    <row r="14" spans="1:4" ht="16" x14ac:dyDescent="0.2">
      <c r="A14" s="2" t="s">
        <v>41</v>
      </c>
      <c r="B14" s="3" t="s">
        <v>30</v>
      </c>
      <c r="C14" s="3" t="s">
        <v>30</v>
      </c>
      <c r="D14" s="3" t="s">
        <v>42</v>
      </c>
    </row>
    <row r="15" spans="1:4" ht="16" x14ac:dyDescent="0.2">
      <c r="A15" s="2" t="s">
        <v>43</v>
      </c>
      <c r="B15" s="3" t="s">
        <v>44</v>
      </c>
      <c r="C15" s="3" t="s">
        <v>45</v>
      </c>
      <c r="D15" s="3" t="s">
        <v>46</v>
      </c>
    </row>
    <row r="16" spans="1:4" ht="16" x14ac:dyDescent="0.2">
      <c r="A16" s="2" t="s">
        <v>47</v>
      </c>
      <c r="B16" s="3" t="s">
        <v>48</v>
      </c>
      <c r="C16" s="3" t="s">
        <v>49</v>
      </c>
      <c r="D16" s="3" t="s">
        <v>50</v>
      </c>
    </row>
    <row r="17" spans="1:4" ht="16" x14ac:dyDescent="0.2">
      <c r="A17" s="2" t="s">
        <v>51</v>
      </c>
      <c r="B17" s="3" t="s">
        <v>52</v>
      </c>
      <c r="C17" s="3" t="s">
        <v>53</v>
      </c>
      <c r="D17" s="3" t="s">
        <v>54</v>
      </c>
    </row>
    <row r="18" spans="1:4" ht="16" x14ac:dyDescent="0.2">
      <c r="A18" s="2" t="s">
        <v>55</v>
      </c>
      <c r="B18" s="3" t="s">
        <v>56</v>
      </c>
      <c r="C18" s="3" t="s">
        <v>57</v>
      </c>
      <c r="D18" s="3" t="s">
        <v>58</v>
      </c>
    </row>
    <row r="30" spans="1:4" ht="19" x14ac:dyDescent="0.25">
      <c r="A30" s="7" t="s">
        <v>59</v>
      </c>
      <c r="B30" s="8"/>
      <c r="C30" s="8"/>
    </row>
    <row r="32" spans="1:4" ht="16" x14ac:dyDescent="0.2">
      <c r="A32" s="1" t="s">
        <v>60</v>
      </c>
      <c r="B32" s="1" t="s">
        <v>61</v>
      </c>
      <c r="C32" s="1" t="s">
        <v>62</v>
      </c>
    </row>
    <row r="33" spans="1:3" ht="32" x14ac:dyDescent="0.2">
      <c r="A33" s="2" t="s">
        <v>63</v>
      </c>
      <c r="B33" s="3" t="s">
        <v>64</v>
      </c>
      <c r="C33" s="3" t="s">
        <v>65</v>
      </c>
    </row>
    <row r="34" spans="1:3" ht="16" x14ac:dyDescent="0.2">
      <c r="A34" s="2" t="s">
        <v>66</v>
      </c>
      <c r="B34" s="3" t="s">
        <v>67</v>
      </c>
      <c r="C34" s="3" t="s">
        <v>68</v>
      </c>
    </row>
    <row r="35" spans="1:3" ht="32" x14ac:dyDescent="0.2">
      <c r="A35" s="2" t="s">
        <v>69</v>
      </c>
      <c r="B35" s="3" t="s">
        <v>70</v>
      </c>
      <c r="C35" s="3" t="s">
        <v>71</v>
      </c>
    </row>
    <row r="36" spans="1:3" ht="16" x14ac:dyDescent="0.2">
      <c r="A36" s="2" t="s">
        <v>72</v>
      </c>
      <c r="B36" s="3" t="s">
        <v>73</v>
      </c>
      <c r="C36" s="3" t="s">
        <v>74</v>
      </c>
    </row>
    <row r="37" spans="1:3" ht="16" x14ac:dyDescent="0.2">
      <c r="A37" s="2" t="s">
        <v>75</v>
      </c>
      <c r="B37" s="3" t="s">
        <v>76</v>
      </c>
      <c r="C37" s="3" t="s">
        <v>77</v>
      </c>
    </row>
    <row r="38" spans="1:3" ht="32" x14ac:dyDescent="0.2">
      <c r="A38" s="2" t="s">
        <v>78</v>
      </c>
      <c r="B38" s="3" t="s">
        <v>79</v>
      </c>
      <c r="C38" s="3" t="s">
        <v>80</v>
      </c>
    </row>
    <row r="39" spans="1:3" ht="16" x14ac:dyDescent="0.2">
      <c r="A39" s="2" t="s">
        <v>47</v>
      </c>
      <c r="B39" s="3" t="s">
        <v>81</v>
      </c>
      <c r="C39" s="3" t="s">
        <v>82</v>
      </c>
    </row>
    <row r="40" spans="1:3" ht="16" x14ac:dyDescent="0.2">
      <c r="A40" s="2" t="s">
        <v>83</v>
      </c>
      <c r="B40" s="3" t="s">
        <v>84</v>
      </c>
      <c r="C40" s="3" t="s">
        <v>85</v>
      </c>
    </row>
    <row r="41" spans="1:3" ht="16" x14ac:dyDescent="0.2">
      <c r="A41" s="2" t="s">
        <v>86</v>
      </c>
      <c r="B41" s="3" t="s">
        <v>42</v>
      </c>
      <c r="C41" s="3" t="s">
        <v>87</v>
      </c>
    </row>
    <row r="42" spans="1:3" ht="16" x14ac:dyDescent="0.2">
      <c r="A42" s="2" t="s">
        <v>88</v>
      </c>
      <c r="B42" s="3" t="s">
        <v>89</v>
      </c>
      <c r="C42" s="3" t="s">
        <v>42</v>
      </c>
    </row>
    <row r="43" spans="1:3" ht="16" x14ac:dyDescent="0.2">
      <c r="A43" s="2" t="s">
        <v>90</v>
      </c>
      <c r="B43" s="3" t="s">
        <v>91</v>
      </c>
      <c r="C43" s="3" t="s">
        <v>92</v>
      </c>
    </row>
    <row r="44" spans="1:3" ht="16" x14ac:dyDescent="0.2">
      <c r="A44" s="2" t="s">
        <v>93</v>
      </c>
      <c r="B44" s="3" t="s">
        <v>94</v>
      </c>
      <c r="C44" s="3" t="s">
        <v>95</v>
      </c>
    </row>
    <row r="45" spans="1:3" ht="16" x14ac:dyDescent="0.2">
      <c r="A45" s="2" t="s">
        <v>96</v>
      </c>
      <c r="B45" s="3" t="s">
        <v>97</v>
      </c>
      <c r="C45" s="3" t="s">
        <v>98</v>
      </c>
    </row>
    <row r="54" spans="1:7" ht="19" x14ac:dyDescent="0.25">
      <c r="A54" s="7" t="s">
        <v>99</v>
      </c>
      <c r="B54" s="8"/>
      <c r="C54" s="8"/>
      <c r="D54" s="8"/>
      <c r="E54" s="8"/>
      <c r="F54" s="8"/>
      <c r="G54" s="8"/>
    </row>
    <row r="56" spans="1:7" ht="64" x14ac:dyDescent="0.2">
      <c r="A56" s="1" t="s">
        <v>100</v>
      </c>
      <c r="B56" s="1" t="s">
        <v>101</v>
      </c>
      <c r="C56" s="1" t="s">
        <v>102</v>
      </c>
      <c r="D56" s="1" t="s">
        <v>103</v>
      </c>
      <c r="E56" s="1" t="s">
        <v>104</v>
      </c>
      <c r="F56" s="1" t="s">
        <v>105</v>
      </c>
      <c r="G56" s="1" t="s">
        <v>106</v>
      </c>
    </row>
    <row r="57" spans="1:7" ht="32" x14ac:dyDescent="0.2">
      <c r="A57" s="2" t="s">
        <v>107</v>
      </c>
      <c r="B57" s="3" t="s">
        <v>108</v>
      </c>
      <c r="C57" s="3" t="s">
        <v>109</v>
      </c>
      <c r="D57" s="4">
        <v>350000</v>
      </c>
      <c r="E57" s="3" t="s">
        <v>110</v>
      </c>
      <c r="F57" s="5">
        <v>5000</v>
      </c>
      <c r="G57" s="3" t="s">
        <v>111</v>
      </c>
    </row>
    <row r="58" spans="1:7" ht="32" x14ac:dyDescent="0.2">
      <c r="A58" s="2" t="s">
        <v>112</v>
      </c>
      <c r="B58" s="3" t="s">
        <v>113</v>
      </c>
      <c r="C58" s="3" t="s">
        <v>114</v>
      </c>
      <c r="D58" s="4">
        <v>1000000</v>
      </c>
      <c r="E58" s="3" t="s">
        <v>115</v>
      </c>
      <c r="F58" s="5">
        <v>10000</v>
      </c>
      <c r="G58" s="3" t="s">
        <v>116</v>
      </c>
    </row>
    <row r="59" spans="1:7" ht="32" x14ac:dyDescent="0.2">
      <c r="A59" s="2" t="s">
        <v>117</v>
      </c>
      <c r="B59" s="3" t="s">
        <v>118</v>
      </c>
      <c r="C59" s="3" t="s">
        <v>119</v>
      </c>
      <c r="D59" s="4">
        <v>3000000</v>
      </c>
      <c r="E59" s="3" t="s">
        <v>120</v>
      </c>
      <c r="F59" s="5">
        <v>3000</v>
      </c>
      <c r="G59" s="3" t="s">
        <v>121</v>
      </c>
    </row>
    <row r="60" spans="1:7" ht="32" x14ac:dyDescent="0.2">
      <c r="A60" s="2" t="s">
        <v>122</v>
      </c>
      <c r="B60" s="3" t="s">
        <v>123</v>
      </c>
      <c r="C60" s="3" t="s">
        <v>124</v>
      </c>
      <c r="D60" s="4">
        <v>7000000</v>
      </c>
      <c r="E60" s="3" t="s">
        <v>125</v>
      </c>
      <c r="F60" s="5">
        <v>1000</v>
      </c>
      <c r="G60" s="3" t="s">
        <v>126</v>
      </c>
    </row>
    <row r="61" spans="1:7" ht="32" x14ac:dyDescent="0.2">
      <c r="A61" s="2" t="s">
        <v>127</v>
      </c>
      <c r="B61" s="3" t="s">
        <v>128</v>
      </c>
      <c r="C61" s="3" t="s">
        <v>129</v>
      </c>
      <c r="D61" s="4">
        <v>5000000</v>
      </c>
      <c r="E61" s="3" t="s">
        <v>130</v>
      </c>
      <c r="F61" s="5">
        <v>150</v>
      </c>
      <c r="G61" s="3" t="s">
        <v>131</v>
      </c>
    </row>
    <row r="62" spans="1:7" ht="32" x14ac:dyDescent="0.2">
      <c r="A62" s="2" t="s">
        <v>132</v>
      </c>
      <c r="B62" s="3" t="s">
        <v>133</v>
      </c>
      <c r="C62" s="3" t="s">
        <v>133</v>
      </c>
      <c r="D62" s="3"/>
      <c r="E62" s="3"/>
      <c r="F62" s="5">
        <v>19150</v>
      </c>
      <c r="G62" s="3" t="s">
        <v>134</v>
      </c>
    </row>
    <row r="70" spans="1:6" ht="19" x14ac:dyDescent="0.25">
      <c r="A70" s="7" t="s">
        <v>135</v>
      </c>
      <c r="B70" s="8"/>
      <c r="C70" s="8"/>
      <c r="D70" s="8"/>
      <c r="E70" s="8"/>
      <c r="F70" s="8"/>
    </row>
    <row r="72" spans="1:6" ht="32" x14ac:dyDescent="0.2">
      <c r="A72" s="1" t="s">
        <v>136</v>
      </c>
      <c r="B72" s="1" t="s">
        <v>137</v>
      </c>
      <c r="C72" s="1" t="s">
        <v>138</v>
      </c>
      <c r="D72" s="1" t="s">
        <v>18</v>
      </c>
      <c r="E72" s="1" t="s">
        <v>139</v>
      </c>
      <c r="F72" s="1" t="s">
        <v>140</v>
      </c>
    </row>
    <row r="73" spans="1:6" ht="32" x14ac:dyDescent="0.2">
      <c r="A73" s="2" t="s">
        <v>43</v>
      </c>
      <c r="B73" s="3" t="s">
        <v>141</v>
      </c>
      <c r="C73" s="3" t="s">
        <v>142</v>
      </c>
      <c r="D73" s="3" t="s">
        <v>143</v>
      </c>
      <c r="E73" s="3" t="s">
        <v>144</v>
      </c>
      <c r="F73" s="3" t="s">
        <v>145</v>
      </c>
    </row>
    <row r="74" spans="1:6" ht="16" x14ac:dyDescent="0.2">
      <c r="A74" s="2" t="s">
        <v>146</v>
      </c>
      <c r="B74" s="3" t="s">
        <v>147</v>
      </c>
      <c r="C74" s="3" t="s">
        <v>148</v>
      </c>
      <c r="D74" s="3" t="s">
        <v>149</v>
      </c>
      <c r="E74" s="3" t="s">
        <v>150</v>
      </c>
      <c r="F74" s="3" t="s">
        <v>151</v>
      </c>
    </row>
    <row r="75" spans="1:6" ht="16" x14ac:dyDescent="0.2">
      <c r="A75" s="2" t="s">
        <v>152</v>
      </c>
      <c r="B75" s="3" t="s">
        <v>147</v>
      </c>
      <c r="C75" s="3" t="s">
        <v>153</v>
      </c>
      <c r="D75" s="3" t="s">
        <v>112</v>
      </c>
      <c r="E75" s="3" t="s">
        <v>154</v>
      </c>
      <c r="F75" s="3" t="s">
        <v>155</v>
      </c>
    </row>
    <row r="76" spans="1:6" ht="16" x14ac:dyDescent="0.2">
      <c r="A76" s="2" t="s">
        <v>156</v>
      </c>
      <c r="B76" s="3" t="s">
        <v>147</v>
      </c>
      <c r="C76" s="3" t="s">
        <v>157</v>
      </c>
      <c r="D76" s="3" t="s">
        <v>158</v>
      </c>
      <c r="E76" s="3" t="s">
        <v>159</v>
      </c>
      <c r="F76" s="3" t="s">
        <v>160</v>
      </c>
    </row>
    <row r="77" spans="1:6" ht="16" x14ac:dyDescent="0.2">
      <c r="A77" s="2" t="s">
        <v>161</v>
      </c>
      <c r="B77" s="3" t="s">
        <v>162</v>
      </c>
      <c r="C77" s="3" t="s">
        <v>163</v>
      </c>
      <c r="D77" s="3" t="s">
        <v>164</v>
      </c>
      <c r="E77" s="3" t="s">
        <v>165</v>
      </c>
      <c r="F77" s="3" t="s">
        <v>166</v>
      </c>
    </row>
    <row r="78" spans="1:6" ht="16" x14ac:dyDescent="0.2">
      <c r="A78" s="2" t="s">
        <v>167</v>
      </c>
      <c r="B78" s="3" t="s">
        <v>168</v>
      </c>
      <c r="C78" s="3" t="s">
        <v>169</v>
      </c>
      <c r="D78" s="3" t="s">
        <v>170</v>
      </c>
      <c r="E78" s="3" t="s">
        <v>171</v>
      </c>
      <c r="F78" s="3" t="s">
        <v>172</v>
      </c>
    </row>
    <row r="79" spans="1:6" ht="16" x14ac:dyDescent="0.2">
      <c r="A79" s="2" t="s">
        <v>83</v>
      </c>
      <c r="B79" s="3" t="s">
        <v>173</v>
      </c>
      <c r="C79" s="3" t="s">
        <v>174</v>
      </c>
      <c r="D79" s="3" t="s">
        <v>175</v>
      </c>
      <c r="E79" s="3" t="s">
        <v>159</v>
      </c>
      <c r="F79" s="3" t="s">
        <v>166</v>
      </c>
    </row>
    <row r="80" spans="1:6" ht="16" x14ac:dyDescent="0.2">
      <c r="A80" s="2" t="s">
        <v>176</v>
      </c>
      <c r="B80" s="3" t="s">
        <v>177</v>
      </c>
      <c r="C80" s="3" t="s">
        <v>178</v>
      </c>
      <c r="D80" s="3" t="s">
        <v>179</v>
      </c>
      <c r="E80" s="3" t="s">
        <v>180</v>
      </c>
      <c r="F80" s="3" t="s">
        <v>181</v>
      </c>
    </row>
    <row r="81" spans="1:7" ht="16" x14ac:dyDescent="0.2">
      <c r="A81" s="2" t="s">
        <v>37</v>
      </c>
      <c r="B81" s="3" t="s">
        <v>182</v>
      </c>
      <c r="C81" s="3" t="s">
        <v>183</v>
      </c>
      <c r="D81" s="3" t="s">
        <v>184</v>
      </c>
      <c r="E81" s="3" t="s">
        <v>171</v>
      </c>
      <c r="F81" s="3" t="s">
        <v>172</v>
      </c>
    </row>
    <row r="82" spans="1:7" ht="16" x14ac:dyDescent="0.2">
      <c r="A82" s="2" t="s">
        <v>185</v>
      </c>
      <c r="B82" s="3" t="s">
        <v>186</v>
      </c>
      <c r="C82" s="3" t="s">
        <v>187</v>
      </c>
      <c r="D82" s="3" t="s">
        <v>188</v>
      </c>
      <c r="E82" s="3" t="s">
        <v>165</v>
      </c>
      <c r="F82" s="3" t="s">
        <v>189</v>
      </c>
    </row>
    <row r="90" spans="1:7" ht="19" x14ac:dyDescent="0.25">
      <c r="A90" s="7" t="s">
        <v>190</v>
      </c>
      <c r="B90" s="8"/>
      <c r="C90" s="8"/>
      <c r="D90" s="8"/>
      <c r="E90" s="8"/>
      <c r="F90" s="8"/>
      <c r="G90" s="8"/>
    </row>
    <row r="92" spans="1:7" ht="48" x14ac:dyDescent="0.2">
      <c r="A92" s="1" t="s">
        <v>191</v>
      </c>
      <c r="B92" s="1" t="s">
        <v>192</v>
      </c>
      <c r="C92" s="1" t="s">
        <v>193</v>
      </c>
      <c r="D92" s="1" t="s">
        <v>194</v>
      </c>
      <c r="E92" s="1" t="s">
        <v>195</v>
      </c>
      <c r="F92" s="1" t="s">
        <v>138</v>
      </c>
      <c r="G92" s="1" t="s">
        <v>196</v>
      </c>
    </row>
    <row r="93" spans="1:7" ht="48" x14ac:dyDescent="0.2">
      <c r="A93" s="2" t="s">
        <v>197</v>
      </c>
      <c r="B93" s="3" t="s">
        <v>198</v>
      </c>
      <c r="C93" s="3" t="s">
        <v>199</v>
      </c>
      <c r="D93" s="3" t="s">
        <v>200</v>
      </c>
      <c r="E93" s="3" t="s">
        <v>201</v>
      </c>
      <c r="F93" s="4">
        <v>400000</v>
      </c>
      <c r="G93" s="4">
        <v>4000000</v>
      </c>
    </row>
    <row r="94" spans="1:7" ht="48" x14ac:dyDescent="0.2">
      <c r="A94" s="2" t="s">
        <v>202</v>
      </c>
      <c r="B94" s="3" t="s">
        <v>203</v>
      </c>
      <c r="C94" s="3" t="s">
        <v>204</v>
      </c>
      <c r="D94" s="3" t="s">
        <v>205</v>
      </c>
      <c r="E94" s="3" t="s">
        <v>206</v>
      </c>
      <c r="F94" s="4">
        <v>600000</v>
      </c>
      <c r="G94" s="4">
        <v>12000000</v>
      </c>
    </row>
    <row r="95" spans="1:7" ht="64" x14ac:dyDescent="0.2">
      <c r="A95" s="2" t="s">
        <v>207</v>
      </c>
      <c r="B95" s="3" t="s">
        <v>208</v>
      </c>
      <c r="C95" s="3" t="s">
        <v>209</v>
      </c>
      <c r="D95" s="3" t="s">
        <v>133</v>
      </c>
      <c r="E95" s="3" t="s">
        <v>210</v>
      </c>
      <c r="F95" s="4">
        <v>750000</v>
      </c>
      <c r="G95" s="4">
        <v>22500000</v>
      </c>
    </row>
    <row r="96" spans="1:7" ht="32" x14ac:dyDescent="0.2">
      <c r="A96" s="2" t="s">
        <v>211</v>
      </c>
      <c r="B96" s="3" t="s">
        <v>212</v>
      </c>
      <c r="C96" s="3" t="s">
        <v>213</v>
      </c>
      <c r="D96" s="3" t="s">
        <v>133</v>
      </c>
      <c r="E96" s="3" t="s">
        <v>214</v>
      </c>
      <c r="F96" s="4">
        <v>850000</v>
      </c>
      <c r="G96" s="3" t="s">
        <v>215</v>
      </c>
    </row>
    <row r="107" spans="1:5" ht="19" x14ac:dyDescent="0.25">
      <c r="A107" s="7" t="s">
        <v>262</v>
      </c>
      <c r="B107" s="8"/>
      <c r="C107" s="8"/>
      <c r="D107" s="8"/>
      <c r="E107" s="8"/>
    </row>
    <row r="109" spans="1:5" ht="32" x14ac:dyDescent="0.2">
      <c r="A109" s="1" t="s">
        <v>263</v>
      </c>
      <c r="B109" s="1" t="s">
        <v>264</v>
      </c>
      <c r="C109" s="1" t="s">
        <v>265</v>
      </c>
      <c r="D109" s="1" t="s">
        <v>266</v>
      </c>
      <c r="E109" s="1" t="s">
        <v>139</v>
      </c>
    </row>
    <row r="110" spans="1:5" ht="16" x14ac:dyDescent="0.2">
      <c r="A110" s="2" t="s">
        <v>103</v>
      </c>
      <c r="B110" s="4">
        <v>350000</v>
      </c>
      <c r="C110" s="4">
        <v>1000000</v>
      </c>
      <c r="D110" s="4">
        <v>3000000</v>
      </c>
      <c r="E110" s="3" t="s">
        <v>133</v>
      </c>
    </row>
    <row r="111" spans="1:5" ht="16" x14ac:dyDescent="0.2">
      <c r="A111" s="2" t="s">
        <v>267</v>
      </c>
      <c r="B111" s="6">
        <v>30000</v>
      </c>
      <c r="C111" s="6">
        <v>50000</v>
      </c>
      <c r="D111" s="6">
        <v>80000</v>
      </c>
      <c r="E111" s="3" t="s">
        <v>133</v>
      </c>
    </row>
    <row r="112" spans="1:5" ht="16" x14ac:dyDescent="0.2">
      <c r="A112" s="2" t="s">
        <v>268</v>
      </c>
      <c r="B112" s="6">
        <v>10000</v>
      </c>
      <c r="C112" s="6">
        <v>25000</v>
      </c>
      <c r="D112" s="6">
        <v>50000</v>
      </c>
      <c r="E112" s="3" t="s">
        <v>133</v>
      </c>
    </row>
    <row r="113" spans="1:5" ht="16" x14ac:dyDescent="0.2">
      <c r="A113" s="2" t="s">
        <v>269</v>
      </c>
      <c r="B113" s="6">
        <v>70000</v>
      </c>
      <c r="C113" s="6">
        <v>150000</v>
      </c>
      <c r="D113" s="6">
        <v>450000</v>
      </c>
      <c r="E113" s="3" t="s">
        <v>133</v>
      </c>
    </row>
    <row r="114" spans="1:5" ht="16" x14ac:dyDescent="0.2">
      <c r="A114" s="2" t="s">
        <v>270</v>
      </c>
      <c r="B114" s="6">
        <v>75000</v>
      </c>
      <c r="C114" s="6">
        <v>200000</v>
      </c>
      <c r="D114" s="6">
        <v>500000</v>
      </c>
      <c r="E114" s="3" t="s">
        <v>133</v>
      </c>
    </row>
    <row r="115" spans="1:5" ht="16" x14ac:dyDescent="0.2">
      <c r="A115" s="2" t="s">
        <v>271</v>
      </c>
      <c r="B115" s="6">
        <v>20000</v>
      </c>
      <c r="C115" s="6">
        <v>40000</v>
      </c>
      <c r="D115" s="6">
        <v>80000</v>
      </c>
      <c r="E115" s="3" t="s">
        <v>133</v>
      </c>
    </row>
    <row r="116" spans="1:5" ht="16" x14ac:dyDescent="0.2">
      <c r="A116" s="2" t="s">
        <v>272</v>
      </c>
      <c r="B116" s="6">
        <v>30750</v>
      </c>
      <c r="C116" s="6">
        <v>69750</v>
      </c>
      <c r="D116" s="6">
        <v>168000</v>
      </c>
      <c r="E116" s="3" t="s">
        <v>133</v>
      </c>
    </row>
    <row r="117" spans="1:5" ht="16" x14ac:dyDescent="0.2">
      <c r="A117" s="2" t="s">
        <v>273</v>
      </c>
      <c r="B117" s="6">
        <v>235750</v>
      </c>
      <c r="C117" s="6">
        <v>534750</v>
      </c>
      <c r="D117" s="6">
        <v>1328000</v>
      </c>
      <c r="E117" s="3" t="s">
        <v>133</v>
      </c>
    </row>
    <row r="118" spans="1:5" ht="16" x14ac:dyDescent="0.2">
      <c r="A118" s="2" t="s">
        <v>274</v>
      </c>
      <c r="B118" s="6">
        <v>114250</v>
      </c>
      <c r="C118" s="6">
        <v>465250</v>
      </c>
      <c r="D118" s="6">
        <v>1672000</v>
      </c>
      <c r="E118" s="3" t="s">
        <v>133</v>
      </c>
    </row>
    <row r="119" spans="1:5" ht="32" x14ac:dyDescent="0.2">
      <c r="A119" s="2" t="s">
        <v>275</v>
      </c>
      <c r="B119" s="3" t="s">
        <v>276</v>
      </c>
      <c r="C119" s="3" t="s">
        <v>277</v>
      </c>
      <c r="D119" s="3" t="s">
        <v>278</v>
      </c>
      <c r="E119" s="3" t="s">
        <v>279</v>
      </c>
    </row>
    <row r="120" spans="1:5" ht="32" x14ac:dyDescent="0.2">
      <c r="A120" s="2" t="s">
        <v>280</v>
      </c>
      <c r="B120" s="3" t="s">
        <v>171</v>
      </c>
      <c r="C120" s="3" t="s">
        <v>281</v>
      </c>
      <c r="D120" s="3" t="s">
        <v>282</v>
      </c>
      <c r="E120" s="3" t="s">
        <v>283</v>
      </c>
    </row>
    <row r="131" spans="1:7" ht="19" x14ac:dyDescent="0.25">
      <c r="A131" s="7" t="s">
        <v>284</v>
      </c>
      <c r="B131" s="8"/>
      <c r="C131" s="8"/>
      <c r="D131" s="8"/>
      <c r="E131" s="8"/>
      <c r="F131" s="8"/>
      <c r="G131" s="8"/>
    </row>
    <row r="133" spans="1:7" ht="48" x14ac:dyDescent="0.2">
      <c r="A133" s="1" t="s">
        <v>285</v>
      </c>
      <c r="B133" s="1" t="s">
        <v>286</v>
      </c>
      <c r="C133" s="1" t="s">
        <v>138</v>
      </c>
      <c r="D133" s="1" t="s">
        <v>287</v>
      </c>
      <c r="E133" s="1" t="s">
        <v>288</v>
      </c>
      <c r="F133" s="1" t="s">
        <v>289</v>
      </c>
      <c r="G133" s="1" t="s">
        <v>290</v>
      </c>
    </row>
    <row r="134" spans="1:7" ht="16" x14ac:dyDescent="0.2">
      <c r="A134" s="2" t="s">
        <v>291</v>
      </c>
      <c r="B134" s="4">
        <v>15000000</v>
      </c>
      <c r="C134" s="4">
        <v>500000</v>
      </c>
      <c r="D134" s="4">
        <v>250000</v>
      </c>
      <c r="E134" s="4">
        <v>250000</v>
      </c>
      <c r="F134" s="3" t="s">
        <v>292</v>
      </c>
      <c r="G134" s="4">
        <v>30000000</v>
      </c>
    </row>
    <row r="135" spans="1:7" ht="16" x14ac:dyDescent="0.2">
      <c r="A135" s="2" t="s">
        <v>227</v>
      </c>
      <c r="B135" s="4">
        <v>25000000</v>
      </c>
      <c r="C135" s="4">
        <v>700000</v>
      </c>
      <c r="D135" s="4">
        <v>320000</v>
      </c>
      <c r="E135" s="4">
        <v>380000</v>
      </c>
      <c r="F135" s="3" t="s">
        <v>293</v>
      </c>
      <c r="G135" s="4">
        <v>46200000</v>
      </c>
    </row>
    <row r="136" spans="1:7" ht="16" x14ac:dyDescent="0.2">
      <c r="A136" s="2" t="s">
        <v>294</v>
      </c>
      <c r="B136" s="4">
        <v>35000000</v>
      </c>
      <c r="C136" s="4">
        <v>850000</v>
      </c>
      <c r="D136" s="4">
        <v>380000</v>
      </c>
      <c r="E136" s="4">
        <v>470000</v>
      </c>
      <c r="F136" s="3" t="s">
        <v>295</v>
      </c>
      <c r="G136" s="4">
        <v>62900000</v>
      </c>
    </row>
    <row r="144" spans="1:7" ht="19" x14ac:dyDescent="0.25">
      <c r="A144" s="7" t="s">
        <v>296</v>
      </c>
      <c r="B144" s="8"/>
      <c r="C144" s="8"/>
      <c r="D144" s="8"/>
    </row>
    <row r="146" spans="1:4" ht="16" x14ac:dyDescent="0.2">
      <c r="A146" s="1" t="s">
        <v>297</v>
      </c>
      <c r="B146" s="1" t="s">
        <v>107</v>
      </c>
      <c r="C146" s="1" t="s">
        <v>112</v>
      </c>
      <c r="D146" s="1" t="s">
        <v>117</v>
      </c>
    </row>
    <row r="147" spans="1:4" ht="32" x14ac:dyDescent="0.2">
      <c r="A147" s="2" t="s">
        <v>298</v>
      </c>
      <c r="B147" s="4">
        <v>70000</v>
      </c>
      <c r="C147" s="4">
        <v>150000</v>
      </c>
      <c r="D147" s="4">
        <v>450000</v>
      </c>
    </row>
    <row r="148" spans="1:4" ht="16" x14ac:dyDescent="0.2">
      <c r="A148" s="2" t="s">
        <v>103</v>
      </c>
      <c r="B148" s="4">
        <v>350000</v>
      </c>
      <c r="C148" s="4">
        <v>1000000</v>
      </c>
      <c r="D148" s="4">
        <v>3000000</v>
      </c>
    </row>
    <row r="149" spans="1:4" ht="16" x14ac:dyDescent="0.2">
      <c r="A149" s="2" t="s">
        <v>299</v>
      </c>
      <c r="B149" s="3" t="s">
        <v>300</v>
      </c>
      <c r="C149" s="3" t="s">
        <v>301</v>
      </c>
      <c r="D149" s="3" t="s">
        <v>302</v>
      </c>
    </row>
    <row r="150" spans="1:4" ht="16" x14ac:dyDescent="0.2">
      <c r="A150" s="2" t="s">
        <v>303</v>
      </c>
      <c r="B150" s="3" t="s">
        <v>304</v>
      </c>
      <c r="C150" s="3" t="s">
        <v>305</v>
      </c>
      <c r="D150" s="3" t="s">
        <v>306</v>
      </c>
    </row>
    <row r="151" spans="1:4" ht="16" x14ac:dyDescent="0.2">
      <c r="A151" s="2" t="s">
        <v>93</v>
      </c>
      <c r="B151" s="4">
        <v>800000</v>
      </c>
      <c r="C151" s="4">
        <v>2600000</v>
      </c>
      <c r="D151" s="4">
        <v>8600000</v>
      </c>
    </row>
    <row r="152" spans="1:4" ht="16" x14ac:dyDescent="0.2">
      <c r="A152" s="2" t="s">
        <v>307</v>
      </c>
      <c r="B152" s="3" t="s">
        <v>308</v>
      </c>
      <c r="C152" s="3" t="s">
        <v>309</v>
      </c>
      <c r="D152" s="3" t="s">
        <v>310</v>
      </c>
    </row>
    <row r="153" spans="1:4" ht="16" x14ac:dyDescent="0.2">
      <c r="A153" s="2" t="s">
        <v>311</v>
      </c>
      <c r="B153" s="3" t="s">
        <v>312</v>
      </c>
      <c r="C153" s="3" t="s">
        <v>313</v>
      </c>
      <c r="D153" s="3" t="s">
        <v>313</v>
      </c>
    </row>
    <row r="154" spans="1:4" ht="16" x14ac:dyDescent="0.2">
      <c r="A154" s="2" t="s">
        <v>314</v>
      </c>
      <c r="B154" s="3" t="s">
        <v>155</v>
      </c>
      <c r="C154" s="3" t="s">
        <v>315</v>
      </c>
      <c r="D154" s="3" t="s">
        <v>181</v>
      </c>
    </row>
    <row r="155" spans="1:4" ht="16" x14ac:dyDescent="0.2">
      <c r="A155" s="2" t="s">
        <v>316</v>
      </c>
      <c r="B155" s="3" t="s">
        <v>317</v>
      </c>
      <c r="C155" s="3" t="s">
        <v>318</v>
      </c>
      <c r="D155" s="3" t="s">
        <v>319</v>
      </c>
    </row>
  </sheetData>
  <mergeCells count="8">
    <mergeCell ref="A107:E107"/>
    <mergeCell ref="A131:G131"/>
    <mergeCell ref="A144:D144"/>
    <mergeCell ref="A1:D1"/>
    <mergeCell ref="A30:C30"/>
    <mergeCell ref="A54:G54"/>
    <mergeCell ref="A70:F70"/>
    <mergeCell ref="A90:G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B368-0A8B-AA46-8E49-BA26D639B61D}">
  <dimension ref="A1:K89"/>
  <sheetViews>
    <sheetView workbookViewId="0">
      <selection activeCell="A20" sqref="A20:D21"/>
    </sheetView>
  </sheetViews>
  <sheetFormatPr baseColWidth="10" defaultRowHeight="15" x14ac:dyDescent="0.2"/>
  <cols>
    <col min="1" max="1" width="23.6640625" customWidth="1"/>
    <col min="2" max="2" width="20.1640625" customWidth="1"/>
  </cols>
  <sheetData>
    <row r="1" spans="1:11" ht="18" x14ac:dyDescent="0.2">
      <c r="A1" s="14" t="s">
        <v>343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ht="30" x14ac:dyDescent="0.2">
      <c r="A3" s="13" t="s">
        <v>342</v>
      </c>
      <c r="B3" s="13" t="s">
        <v>341</v>
      </c>
      <c r="C3" s="13" t="s">
        <v>47</v>
      </c>
      <c r="D3" s="13" t="s">
        <v>340</v>
      </c>
      <c r="E3" s="13" t="s">
        <v>339</v>
      </c>
      <c r="F3" s="13" t="s">
        <v>338</v>
      </c>
      <c r="G3" s="13" t="s">
        <v>337</v>
      </c>
      <c r="H3" s="13" t="s">
        <v>336</v>
      </c>
      <c r="I3" s="13" t="s">
        <v>335</v>
      </c>
      <c r="J3" s="13" t="s">
        <v>334</v>
      </c>
      <c r="K3" s="13" t="s">
        <v>333</v>
      </c>
    </row>
    <row r="4" spans="1:11" ht="48" x14ac:dyDescent="0.2">
      <c r="A4" s="12" t="s">
        <v>332</v>
      </c>
      <c r="B4" s="11">
        <v>150000</v>
      </c>
      <c r="C4" s="11">
        <v>150000</v>
      </c>
      <c r="D4" s="11">
        <v>30000</v>
      </c>
      <c r="E4" s="10">
        <f>B4+C4+D4</f>
        <v>330000</v>
      </c>
      <c r="F4" s="3" t="s">
        <v>331</v>
      </c>
      <c r="G4" s="10">
        <f>E4*0.5</f>
        <v>165000</v>
      </c>
      <c r="H4" s="10">
        <f>30000+75000+20000</f>
        <v>125000</v>
      </c>
      <c r="I4" s="10">
        <f>G4-H4</f>
        <v>40000</v>
      </c>
      <c r="J4" s="9">
        <f>I4/G4</f>
        <v>0.24242424242424243</v>
      </c>
      <c r="K4" s="3" t="s">
        <v>330</v>
      </c>
    </row>
    <row r="5" spans="1:11" ht="48" x14ac:dyDescent="0.2">
      <c r="A5" s="12" t="s">
        <v>329</v>
      </c>
      <c r="B5" s="11">
        <v>450000</v>
      </c>
      <c r="C5" s="11">
        <v>400000</v>
      </c>
      <c r="D5" s="11">
        <v>90000</v>
      </c>
      <c r="E5" s="10">
        <f>B5+C5+D5</f>
        <v>940000</v>
      </c>
      <c r="F5" s="3" t="s">
        <v>323</v>
      </c>
      <c r="G5" s="10">
        <f>E5*0.6</f>
        <v>564000</v>
      </c>
      <c r="H5" s="10">
        <f>50000+200000+40000</f>
        <v>290000</v>
      </c>
      <c r="I5" s="10">
        <f>G5-H5</f>
        <v>274000</v>
      </c>
      <c r="J5" s="9">
        <f>I5/G5</f>
        <v>0.48581560283687941</v>
      </c>
      <c r="K5" s="3" t="s">
        <v>328</v>
      </c>
    </row>
    <row r="6" spans="1:11" ht="48" x14ac:dyDescent="0.2">
      <c r="A6" s="12" t="s">
        <v>327</v>
      </c>
      <c r="B6" s="11">
        <v>450000</v>
      </c>
      <c r="C6" s="11">
        <v>400000</v>
      </c>
      <c r="D6" s="11">
        <v>90000</v>
      </c>
      <c r="E6" s="10">
        <f>B6+C6+D6</f>
        <v>940000</v>
      </c>
      <c r="F6" s="3" t="s">
        <v>326</v>
      </c>
      <c r="G6" s="10">
        <f>E6*0.75</f>
        <v>705000</v>
      </c>
      <c r="H6" s="10">
        <f>50000+200000+40000</f>
        <v>290000</v>
      </c>
      <c r="I6" s="10">
        <f>G6-H6</f>
        <v>415000</v>
      </c>
      <c r="J6" s="9">
        <f>I6/G6</f>
        <v>0.58865248226950351</v>
      </c>
      <c r="K6" s="3" t="s">
        <v>325</v>
      </c>
    </row>
    <row r="7" spans="1:11" x14ac:dyDescent="0.2">
      <c r="A7" s="12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48" x14ac:dyDescent="0.2">
      <c r="A8" s="12" t="s">
        <v>324</v>
      </c>
      <c r="B8" s="11">
        <v>1200000</v>
      </c>
      <c r="C8" s="11">
        <v>1000000</v>
      </c>
      <c r="D8" s="11">
        <v>240000</v>
      </c>
      <c r="E8" s="10">
        <f>B8+C8+D8</f>
        <v>2440000</v>
      </c>
      <c r="F8" s="3" t="s">
        <v>323</v>
      </c>
      <c r="G8" s="10">
        <f>E8*0.6</f>
        <v>1464000</v>
      </c>
      <c r="H8" s="10">
        <f>80000+500000+80000</f>
        <v>660000</v>
      </c>
      <c r="I8" s="10">
        <f>G8-H8</f>
        <v>804000</v>
      </c>
      <c r="J8" s="9">
        <f>I8/G8</f>
        <v>0.54918032786885251</v>
      </c>
      <c r="K8" s="3" t="s">
        <v>322</v>
      </c>
    </row>
    <row r="15" spans="1:11" ht="18" x14ac:dyDescent="0.2">
      <c r="A15" s="14" t="s">
        <v>387</v>
      </c>
      <c r="B15" s="14"/>
      <c r="C15" s="14"/>
      <c r="D15" s="14"/>
      <c r="E15" s="14"/>
      <c r="F15" s="14"/>
      <c r="G15" s="14"/>
      <c r="H15" s="14"/>
    </row>
    <row r="17" spans="1:8" ht="30" x14ac:dyDescent="0.2">
      <c r="A17" s="13" t="s">
        <v>386</v>
      </c>
      <c r="B17" s="13" t="s">
        <v>385</v>
      </c>
      <c r="C17" s="13" t="s">
        <v>384</v>
      </c>
      <c r="D17" s="13" t="s">
        <v>383</v>
      </c>
      <c r="E17" s="13" t="s">
        <v>175</v>
      </c>
      <c r="F17" s="13" t="s">
        <v>382</v>
      </c>
      <c r="G17" s="13" t="s">
        <v>335</v>
      </c>
      <c r="H17" s="13" t="s">
        <v>381</v>
      </c>
    </row>
    <row r="18" spans="1:8" ht="32" x14ac:dyDescent="0.2">
      <c r="A18" s="12" t="s">
        <v>380</v>
      </c>
      <c r="B18" s="3" t="s">
        <v>379</v>
      </c>
      <c r="C18" s="3" t="s">
        <v>347</v>
      </c>
      <c r="D18" s="3" t="s">
        <v>347</v>
      </c>
      <c r="E18" s="3" t="s">
        <v>347</v>
      </c>
      <c r="F18" s="3" t="s">
        <v>378</v>
      </c>
      <c r="G18" s="3" t="s">
        <v>133</v>
      </c>
      <c r="H18" s="3" t="s">
        <v>377</v>
      </c>
    </row>
    <row r="19" spans="1:8" x14ac:dyDescent="0.2">
      <c r="A19" s="12"/>
      <c r="B19" s="3"/>
      <c r="C19" s="3"/>
      <c r="D19" s="3"/>
      <c r="E19" s="3"/>
      <c r="F19" s="3"/>
      <c r="G19" s="3"/>
      <c r="H19" s="3"/>
    </row>
    <row r="20" spans="1:8" ht="32" x14ac:dyDescent="0.2">
      <c r="A20" s="12" t="s">
        <v>376</v>
      </c>
      <c r="B20" s="3" t="s">
        <v>375</v>
      </c>
      <c r="C20" s="3" t="s">
        <v>30</v>
      </c>
      <c r="D20" s="3" t="s">
        <v>347</v>
      </c>
      <c r="E20" s="3" t="s">
        <v>347</v>
      </c>
      <c r="F20" s="11">
        <v>150000</v>
      </c>
      <c r="G20" s="3" t="s">
        <v>357</v>
      </c>
      <c r="H20" s="3" t="s">
        <v>361</v>
      </c>
    </row>
    <row r="21" spans="1:8" ht="64" x14ac:dyDescent="0.2">
      <c r="A21" s="12"/>
      <c r="B21" s="3" t="s">
        <v>374</v>
      </c>
      <c r="C21" s="3"/>
      <c r="D21" s="3"/>
      <c r="E21" s="3"/>
      <c r="F21" s="3"/>
      <c r="G21" s="3"/>
      <c r="H21" s="3"/>
    </row>
    <row r="22" spans="1:8" ht="48" x14ac:dyDescent="0.2">
      <c r="A22" s="12" t="s">
        <v>373</v>
      </c>
      <c r="B22" s="3" t="s">
        <v>372</v>
      </c>
      <c r="C22" s="3" t="s">
        <v>371</v>
      </c>
      <c r="D22" s="3" t="s">
        <v>347</v>
      </c>
      <c r="E22" s="3" t="s">
        <v>347</v>
      </c>
      <c r="F22" s="11">
        <v>100000</v>
      </c>
      <c r="G22" s="3" t="s">
        <v>370</v>
      </c>
      <c r="H22" s="3" t="s">
        <v>345</v>
      </c>
    </row>
    <row r="23" spans="1:8" ht="64" x14ac:dyDescent="0.2">
      <c r="A23" s="12"/>
      <c r="B23" s="3" t="s">
        <v>369</v>
      </c>
      <c r="C23" s="3"/>
      <c r="D23" s="3"/>
      <c r="E23" s="3"/>
      <c r="F23" s="3"/>
      <c r="G23" s="3"/>
      <c r="H23" s="3"/>
    </row>
    <row r="24" spans="1:8" ht="48" x14ac:dyDescent="0.2">
      <c r="A24" s="12" t="s">
        <v>368</v>
      </c>
      <c r="B24" s="3" t="s">
        <v>367</v>
      </c>
      <c r="C24" s="3" t="s">
        <v>30</v>
      </c>
      <c r="D24" s="3" t="s">
        <v>30</v>
      </c>
      <c r="E24" s="3" t="s">
        <v>347</v>
      </c>
      <c r="F24" s="11">
        <v>300000</v>
      </c>
      <c r="G24" s="3" t="s">
        <v>346</v>
      </c>
      <c r="H24" s="3" t="s">
        <v>366</v>
      </c>
    </row>
    <row r="25" spans="1:8" ht="48" x14ac:dyDescent="0.2">
      <c r="A25" s="12"/>
      <c r="B25" s="3" t="s">
        <v>365</v>
      </c>
      <c r="C25" s="3"/>
      <c r="D25" s="3"/>
      <c r="E25" s="3"/>
      <c r="F25" s="3"/>
      <c r="G25" s="3"/>
      <c r="H25" s="3"/>
    </row>
    <row r="26" spans="1:8" ht="64" x14ac:dyDescent="0.2">
      <c r="A26" s="12" t="s">
        <v>364</v>
      </c>
      <c r="B26" s="3" t="s">
        <v>363</v>
      </c>
      <c r="C26" s="3" t="s">
        <v>30</v>
      </c>
      <c r="D26" s="3" t="s">
        <v>30</v>
      </c>
      <c r="E26" s="3" t="s">
        <v>347</v>
      </c>
      <c r="F26" s="11">
        <v>200000</v>
      </c>
      <c r="G26" s="3" t="s">
        <v>362</v>
      </c>
      <c r="H26" s="3" t="s">
        <v>361</v>
      </c>
    </row>
    <row r="27" spans="1:8" ht="48" x14ac:dyDescent="0.2">
      <c r="A27" s="12"/>
      <c r="B27" s="3" t="s">
        <v>360</v>
      </c>
      <c r="C27" s="3"/>
      <c r="D27" s="3"/>
      <c r="E27" s="3"/>
      <c r="F27" s="3"/>
      <c r="G27" s="3"/>
      <c r="H27" s="3"/>
    </row>
    <row r="28" spans="1:8" ht="48" x14ac:dyDescent="0.2">
      <c r="A28" s="12" t="s">
        <v>359</v>
      </c>
      <c r="B28" s="3" t="s">
        <v>358</v>
      </c>
      <c r="C28" s="3" t="s">
        <v>30</v>
      </c>
      <c r="D28" s="3" t="s">
        <v>348</v>
      </c>
      <c r="E28" s="3" t="s">
        <v>347</v>
      </c>
      <c r="F28" s="11">
        <v>120000</v>
      </c>
      <c r="G28" s="3" t="s">
        <v>357</v>
      </c>
      <c r="H28" s="3" t="s">
        <v>345</v>
      </c>
    </row>
    <row r="29" spans="1:8" ht="48" x14ac:dyDescent="0.2">
      <c r="A29" s="12"/>
      <c r="B29" s="3" t="s">
        <v>356</v>
      </c>
      <c r="C29" s="3"/>
      <c r="D29" s="3"/>
      <c r="E29" s="3"/>
      <c r="F29" s="3"/>
      <c r="G29" s="3"/>
      <c r="H29" s="3"/>
    </row>
    <row r="30" spans="1:8" ht="80" x14ac:dyDescent="0.2">
      <c r="A30" s="12" t="s">
        <v>355</v>
      </c>
      <c r="B30" s="3" t="s">
        <v>354</v>
      </c>
      <c r="C30" s="3" t="s">
        <v>30</v>
      </c>
      <c r="D30" s="3" t="s">
        <v>348</v>
      </c>
      <c r="E30" s="3" t="s">
        <v>348</v>
      </c>
      <c r="F30" s="11">
        <v>180000</v>
      </c>
      <c r="G30" s="3" t="s">
        <v>353</v>
      </c>
      <c r="H30" s="3" t="s">
        <v>352</v>
      </c>
    </row>
    <row r="31" spans="1:8" ht="48" x14ac:dyDescent="0.2">
      <c r="A31" s="12"/>
      <c r="B31" s="3" t="s">
        <v>351</v>
      </c>
      <c r="C31" s="3"/>
      <c r="D31" s="3"/>
      <c r="E31" s="3"/>
      <c r="F31" s="3"/>
      <c r="G31" s="3"/>
      <c r="H31" s="3"/>
    </row>
    <row r="32" spans="1:8" ht="48" x14ac:dyDescent="0.2">
      <c r="A32" s="12" t="s">
        <v>350</v>
      </c>
      <c r="B32" s="3" t="s">
        <v>349</v>
      </c>
      <c r="C32" s="3" t="s">
        <v>30</v>
      </c>
      <c r="D32" s="3" t="s">
        <v>348</v>
      </c>
      <c r="E32" s="3" t="s">
        <v>347</v>
      </c>
      <c r="F32" s="11">
        <v>150000</v>
      </c>
      <c r="G32" s="3" t="s">
        <v>346</v>
      </c>
      <c r="H32" s="3" t="s">
        <v>345</v>
      </c>
    </row>
    <row r="33" spans="1:8" ht="64" x14ac:dyDescent="0.2">
      <c r="A33" s="12"/>
      <c r="B33" s="3" t="s">
        <v>344</v>
      </c>
      <c r="C33" s="3"/>
      <c r="D33" s="3"/>
      <c r="E33" s="3"/>
      <c r="F33" s="3"/>
      <c r="G33" s="3"/>
      <c r="H33" s="3"/>
    </row>
    <row r="39" spans="1:8" ht="18" x14ac:dyDescent="0.2">
      <c r="A39" s="14" t="s">
        <v>416</v>
      </c>
      <c r="B39" s="14"/>
      <c r="C39" s="14"/>
      <c r="D39" s="14"/>
      <c r="E39" s="14"/>
      <c r="F39" s="14"/>
      <c r="G39" s="14"/>
    </row>
    <row r="41" spans="1:8" ht="45" x14ac:dyDescent="0.2">
      <c r="A41" s="13" t="s">
        <v>415</v>
      </c>
      <c r="B41" s="13" t="s">
        <v>386</v>
      </c>
      <c r="C41" s="13" t="s">
        <v>414</v>
      </c>
      <c r="D41" s="13" t="s">
        <v>413</v>
      </c>
      <c r="E41" s="13" t="s">
        <v>412</v>
      </c>
      <c r="F41" s="13" t="s">
        <v>14</v>
      </c>
      <c r="G41" s="13" t="s">
        <v>411</v>
      </c>
    </row>
    <row r="42" spans="1:8" ht="48" x14ac:dyDescent="0.2">
      <c r="A42" s="12" t="s">
        <v>410</v>
      </c>
      <c r="B42" s="3" t="s">
        <v>400</v>
      </c>
      <c r="C42" s="11">
        <v>400000</v>
      </c>
      <c r="D42" s="11">
        <v>150000</v>
      </c>
      <c r="E42" s="3" t="s">
        <v>409</v>
      </c>
      <c r="F42" s="3" t="s">
        <v>133</v>
      </c>
      <c r="G42" s="5">
        <v>30</v>
      </c>
    </row>
    <row r="43" spans="1:8" ht="32" x14ac:dyDescent="0.2">
      <c r="A43" s="12"/>
      <c r="B43" s="3" t="s">
        <v>399</v>
      </c>
      <c r="C43" s="11">
        <v>250000</v>
      </c>
      <c r="D43" s="11">
        <v>100000</v>
      </c>
      <c r="E43" s="3" t="s">
        <v>408</v>
      </c>
      <c r="F43" s="3" t="s">
        <v>133</v>
      </c>
      <c r="G43" s="5">
        <v>50</v>
      </c>
    </row>
    <row r="44" spans="1:8" ht="32" x14ac:dyDescent="0.2">
      <c r="A44" s="12"/>
      <c r="B44" s="3" t="s">
        <v>407</v>
      </c>
      <c r="C44" s="11">
        <v>800000</v>
      </c>
      <c r="D44" s="11">
        <v>300000</v>
      </c>
      <c r="E44" s="3" t="s">
        <v>405</v>
      </c>
      <c r="F44" s="3" t="s">
        <v>133</v>
      </c>
      <c r="G44" s="5">
        <v>10</v>
      </c>
    </row>
    <row r="45" spans="1:8" ht="32" x14ac:dyDescent="0.2">
      <c r="A45" s="12"/>
      <c r="B45" s="3" t="s">
        <v>406</v>
      </c>
      <c r="C45" s="11">
        <v>500000</v>
      </c>
      <c r="D45" s="11">
        <v>200000</v>
      </c>
      <c r="E45" s="3" t="s">
        <v>405</v>
      </c>
      <c r="F45" s="3" t="s">
        <v>133</v>
      </c>
      <c r="G45" s="5">
        <v>25</v>
      </c>
    </row>
    <row r="46" spans="1:8" ht="16" x14ac:dyDescent="0.2">
      <c r="A46" s="12"/>
      <c r="B46" s="3" t="s">
        <v>396</v>
      </c>
      <c r="C46" s="11">
        <v>350000</v>
      </c>
      <c r="D46" s="11">
        <v>120000</v>
      </c>
      <c r="E46" s="3" t="s">
        <v>404</v>
      </c>
      <c r="F46" s="3" t="s">
        <v>133</v>
      </c>
      <c r="G46" s="5">
        <v>40</v>
      </c>
    </row>
    <row r="47" spans="1:8" ht="16" x14ac:dyDescent="0.2">
      <c r="A47" s="12"/>
      <c r="B47" s="3" t="s">
        <v>393</v>
      </c>
      <c r="C47" s="11">
        <v>600000</v>
      </c>
      <c r="D47" s="11">
        <v>180000</v>
      </c>
      <c r="E47" s="3" t="s">
        <v>403</v>
      </c>
      <c r="F47" s="3" t="s">
        <v>133</v>
      </c>
      <c r="G47" s="5">
        <v>20</v>
      </c>
    </row>
    <row r="48" spans="1:8" ht="16" x14ac:dyDescent="0.2">
      <c r="A48" s="12"/>
      <c r="B48" s="3" t="s">
        <v>390</v>
      </c>
      <c r="C48" s="11">
        <v>400000</v>
      </c>
      <c r="D48" s="11">
        <v>150000</v>
      </c>
      <c r="E48" s="3" t="s">
        <v>402</v>
      </c>
      <c r="F48" s="3" t="s">
        <v>133</v>
      </c>
      <c r="G48" s="5">
        <v>35</v>
      </c>
    </row>
    <row r="49" spans="1:10" x14ac:dyDescent="0.2">
      <c r="A49" s="12"/>
      <c r="B49" s="3"/>
      <c r="C49" s="3"/>
      <c r="D49" s="3"/>
      <c r="E49" s="3"/>
      <c r="F49" s="3"/>
      <c r="G49" s="3"/>
    </row>
    <row r="50" spans="1:10" ht="32" x14ac:dyDescent="0.2">
      <c r="A50" s="12" t="s">
        <v>401</v>
      </c>
      <c r="B50" s="3" t="s">
        <v>400</v>
      </c>
      <c r="C50" s="11">
        <v>400000</v>
      </c>
      <c r="D50" s="11">
        <v>40000</v>
      </c>
      <c r="E50" s="3" t="s">
        <v>398</v>
      </c>
      <c r="F50" s="3" t="s">
        <v>388</v>
      </c>
      <c r="G50" s="5">
        <v>100</v>
      </c>
    </row>
    <row r="51" spans="1:10" ht="32" x14ac:dyDescent="0.2">
      <c r="A51" s="12"/>
      <c r="B51" s="3" t="s">
        <v>399</v>
      </c>
      <c r="C51" s="11">
        <v>250000</v>
      </c>
      <c r="D51" s="11">
        <v>30000</v>
      </c>
      <c r="E51" s="3" t="s">
        <v>398</v>
      </c>
      <c r="F51" s="3" t="s">
        <v>397</v>
      </c>
      <c r="G51" s="5">
        <v>80</v>
      </c>
    </row>
    <row r="52" spans="1:10" ht="48" x14ac:dyDescent="0.2">
      <c r="A52" s="12"/>
      <c r="B52" s="3" t="s">
        <v>396</v>
      </c>
      <c r="C52" s="11">
        <v>350000</v>
      </c>
      <c r="D52" s="11">
        <v>35000</v>
      </c>
      <c r="E52" s="3" t="s">
        <v>395</v>
      </c>
      <c r="F52" s="3" t="s">
        <v>394</v>
      </c>
      <c r="G52" s="5">
        <v>60</v>
      </c>
    </row>
    <row r="53" spans="1:10" ht="32" x14ac:dyDescent="0.2">
      <c r="A53" s="12"/>
      <c r="B53" s="3" t="s">
        <v>393</v>
      </c>
      <c r="C53" s="11">
        <v>600000</v>
      </c>
      <c r="D53" s="11">
        <v>25000</v>
      </c>
      <c r="E53" s="3" t="s">
        <v>392</v>
      </c>
      <c r="F53" s="3" t="s">
        <v>391</v>
      </c>
      <c r="G53" s="5">
        <v>40</v>
      </c>
    </row>
    <row r="54" spans="1:10" ht="32" x14ac:dyDescent="0.2">
      <c r="A54" s="12"/>
      <c r="B54" s="3" t="s">
        <v>390</v>
      </c>
      <c r="C54" s="11">
        <v>400000</v>
      </c>
      <c r="D54" s="11">
        <v>40000</v>
      </c>
      <c r="E54" s="3" t="s">
        <v>389</v>
      </c>
      <c r="F54" s="3" t="s">
        <v>388</v>
      </c>
      <c r="G54" s="5">
        <v>50</v>
      </c>
    </row>
    <row r="61" spans="1:10" ht="18" x14ac:dyDescent="0.2">
      <c r="A61" s="14" t="s">
        <v>438</v>
      </c>
      <c r="B61" s="14"/>
      <c r="C61" s="14"/>
      <c r="D61" s="14"/>
      <c r="E61" s="14"/>
      <c r="F61" s="14"/>
      <c r="G61" s="14"/>
      <c r="H61" s="14"/>
      <c r="I61" s="14"/>
      <c r="J61" s="14"/>
    </row>
    <row r="63" spans="1:10" ht="45" x14ac:dyDescent="0.2">
      <c r="A63" s="13" t="s">
        <v>285</v>
      </c>
      <c r="B63" s="13" t="s">
        <v>437</v>
      </c>
      <c r="C63" s="13" t="s">
        <v>436</v>
      </c>
      <c r="D63" s="13" t="s">
        <v>338</v>
      </c>
      <c r="E63" s="13" t="s">
        <v>435</v>
      </c>
      <c r="F63" s="13" t="s">
        <v>336</v>
      </c>
      <c r="G63" s="13" t="s">
        <v>335</v>
      </c>
      <c r="H63" s="13" t="s">
        <v>261</v>
      </c>
      <c r="I63" s="13" t="s">
        <v>434</v>
      </c>
      <c r="J63" s="13" t="s">
        <v>433</v>
      </c>
    </row>
    <row r="64" spans="1:10" ht="32" x14ac:dyDescent="0.2">
      <c r="A64" s="12" t="s">
        <v>432</v>
      </c>
      <c r="B64" s="3">
        <v>30</v>
      </c>
      <c r="C64" s="3" t="s">
        <v>431</v>
      </c>
      <c r="D64" s="3" t="s">
        <v>331</v>
      </c>
      <c r="E64" s="11">
        <v>250000</v>
      </c>
      <c r="F64" s="10">
        <v>130000</v>
      </c>
      <c r="G64" s="10">
        <f>E64-F64</f>
        <v>120000</v>
      </c>
      <c r="H64" s="10">
        <f>B64*E64</f>
        <v>7500000</v>
      </c>
      <c r="I64" s="10">
        <f>B64*G64</f>
        <v>3600000</v>
      </c>
      <c r="J64" s="3" t="s">
        <v>430</v>
      </c>
    </row>
    <row r="65" spans="1:10" x14ac:dyDescent="0.2">
      <c r="A65" s="12"/>
      <c r="B65" s="3"/>
      <c r="C65" s="3"/>
      <c r="D65" s="3"/>
      <c r="E65" s="3"/>
      <c r="F65" s="3"/>
      <c r="G65" s="3"/>
      <c r="H65" s="3"/>
      <c r="I65" s="3"/>
      <c r="J65" s="3"/>
    </row>
    <row r="66" spans="1:10" ht="32" x14ac:dyDescent="0.2">
      <c r="A66" s="12" t="s">
        <v>227</v>
      </c>
      <c r="B66" s="3">
        <v>30</v>
      </c>
      <c r="C66" s="3" t="s">
        <v>429</v>
      </c>
      <c r="D66" s="3" t="s">
        <v>419</v>
      </c>
      <c r="E66" s="11">
        <v>650000</v>
      </c>
      <c r="F66" s="10">
        <v>330000</v>
      </c>
      <c r="G66" s="10">
        <f>E66-F66</f>
        <v>320000</v>
      </c>
      <c r="H66" s="10">
        <f>B66*E66</f>
        <v>19500000</v>
      </c>
      <c r="I66" s="10">
        <f>B66*G66</f>
        <v>9600000</v>
      </c>
      <c r="J66" s="3" t="s">
        <v>422</v>
      </c>
    </row>
    <row r="67" spans="1:10" x14ac:dyDescent="0.2">
      <c r="A67" s="12"/>
      <c r="B67" s="3"/>
      <c r="C67" s="3"/>
      <c r="D67" s="3"/>
      <c r="E67" s="3"/>
      <c r="F67" s="3"/>
      <c r="G67" s="3"/>
      <c r="H67" s="3"/>
      <c r="I67" s="3"/>
      <c r="J67" s="3"/>
    </row>
    <row r="68" spans="1:10" ht="80" x14ac:dyDescent="0.2">
      <c r="A68" s="12" t="s">
        <v>294</v>
      </c>
      <c r="B68" s="3">
        <v>30</v>
      </c>
      <c r="C68" s="3" t="s">
        <v>428</v>
      </c>
      <c r="D68" s="3" t="s">
        <v>427</v>
      </c>
      <c r="E68" s="11">
        <v>820000</v>
      </c>
      <c r="F68" s="10">
        <v>380000</v>
      </c>
      <c r="G68" s="10">
        <f>E68-F68</f>
        <v>440000</v>
      </c>
      <c r="H68" s="10">
        <f>B68*E68</f>
        <v>24600000</v>
      </c>
      <c r="I68" s="10">
        <f>B68*G68</f>
        <v>13200000</v>
      </c>
      <c r="J68" s="3" t="s">
        <v>426</v>
      </c>
    </row>
    <row r="69" spans="1:10" x14ac:dyDescent="0.2">
      <c r="A69" s="12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2">
      <c r="A70" s="12"/>
      <c r="B70" s="3"/>
      <c r="C70" s="3"/>
      <c r="D70" s="3"/>
      <c r="E70" s="3"/>
      <c r="F70" s="3"/>
      <c r="G70" s="3"/>
      <c r="H70" s="3"/>
      <c r="I70" s="3"/>
      <c r="J70" s="3"/>
    </row>
    <row r="71" spans="1:10" ht="32" x14ac:dyDescent="0.2">
      <c r="A71" s="12" t="s">
        <v>425</v>
      </c>
      <c r="B71" s="3">
        <v>30</v>
      </c>
      <c r="C71" s="3" t="s">
        <v>424</v>
      </c>
      <c r="D71" s="3" t="s">
        <v>423</v>
      </c>
      <c r="E71" s="11">
        <v>700000</v>
      </c>
      <c r="F71" s="10">
        <v>350000</v>
      </c>
      <c r="G71" s="10">
        <f>E71-F71</f>
        <v>350000</v>
      </c>
      <c r="H71" s="10">
        <f>B71*E71</f>
        <v>21000000</v>
      </c>
      <c r="I71" s="10">
        <f>B71*G71</f>
        <v>10500000</v>
      </c>
      <c r="J71" s="3" t="s">
        <v>422</v>
      </c>
    </row>
    <row r="72" spans="1:10" ht="16" x14ac:dyDescent="0.2">
      <c r="A72" s="12"/>
      <c r="B72" s="3" t="s">
        <v>421</v>
      </c>
      <c r="C72" s="3"/>
      <c r="D72" s="3" t="s">
        <v>331</v>
      </c>
      <c r="E72" s="11">
        <v>165000</v>
      </c>
      <c r="F72" s="10">
        <v>90000</v>
      </c>
      <c r="G72" s="10">
        <f>E72-F72</f>
        <v>75000</v>
      </c>
      <c r="H72" s="10">
        <f>10*E72</f>
        <v>1650000</v>
      </c>
      <c r="I72" s="10">
        <f>10*G72</f>
        <v>750000</v>
      </c>
      <c r="J72" s="3"/>
    </row>
    <row r="73" spans="1:10" ht="16" x14ac:dyDescent="0.2">
      <c r="A73" s="12"/>
      <c r="B73" s="3" t="s">
        <v>420</v>
      </c>
      <c r="C73" s="3"/>
      <c r="D73" s="3" t="s">
        <v>419</v>
      </c>
      <c r="E73" s="11">
        <v>611000</v>
      </c>
      <c r="F73" s="10">
        <v>290000</v>
      </c>
      <c r="G73" s="10">
        <f>E73-F73</f>
        <v>321000</v>
      </c>
      <c r="H73" s="10">
        <f>15*E73</f>
        <v>9165000</v>
      </c>
      <c r="I73" s="10">
        <f>15*G73</f>
        <v>4815000</v>
      </c>
      <c r="J73" s="3"/>
    </row>
    <row r="74" spans="1:10" ht="16" x14ac:dyDescent="0.2">
      <c r="A74" s="12"/>
      <c r="B74" s="3" t="s">
        <v>418</v>
      </c>
      <c r="C74" s="3"/>
      <c r="D74" s="3" t="s">
        <v>326</v>
      </c>
      <c r="E74" s="11">
        <v>705000</v>
      </c>
      <c r="F74" s="10">
        <v>290000</v>
      </c>
      <c r="G74" s="10">
        <f>E74-F74</f>
        <v>415000</v>
      </c>
      <c r="H74" s="10">
        <f>5*E74</f>
        <v>3525000</v>
      </c>
      <c r="I74" s="10">
        <f>5*G74</f>
        <v>2075000</v>
      </c>
      <c r="J74" s="3"/>
    </row>
    <row r="75" spans="1:10" ht="16" x14ac:dyDescent="0.2">
      <c r="A75" s="12"/>
      <c r="B75" s="3" t="s">
        <v>417</v>
      </c>
      <c r="C75" s="3"/>
      <c r="D75" s="3"/>
      <c r="E75" s="3"/>
      <c r="F75" s="3"/>
      <c r="G75" s="3"/>
      <c r="H75" s="10">
        <f>H72+H73+H74</f>
        <v>14340000</v>
      </c>
      <c r="I75" s="10">
        <f>I72+I73+I74</f>
        <v>7640000</v>
      </c>
      <c r="J75" s="3"/>
    </row>
    <row r="80" spans="1:10" ht="18" x14ac:dyDescent="0.2">
      <c r="A80" s="14" t="s">
        <v>445</v>
      </c>
      <c r="B80" s="14"/>
      <c r="C80" s="14"/>
      <c r="D80" s="14"/>
      <c r="E80" s="14"/>
      <c r="F80" s="14"/>
      <c r="G80" s="14"/>
      <c r="H80" s="14"/>
      <c r="I80" s="14"/>
    </row>
    <row r="82" spans="1:9" ht="45" x14ac:dyDescent="0.2">
      <c r="A82" s="13" t="s">
        <v>386</v>
      </c>
      <c r="B82" s="13" t="s">
        <v>444</v>
      </c>
      <c r="C82" s="13" t="s">
        <v>413</v>
      </c>
      <c r="D82" s="13" t="s">
        <v>443</v>
      </c>
      <c r="E82" s="13" t="s">
        <v>442</v>
      </c>
      <c r="F82" s="13" t="s">
        <v>441</v>
      </c>
      <c r="G82" s="13" t="s">
        <v>440</v>
      </c>
      <c r="H82" s="13" t="s">
        <v>439</v>
      </c>
      <c r="I82" s="13" t="s">
        <v>381</v>
      </c>
    </row>
    <row r="83" spans="1:9" ht="16" x14ac:dyDescent="0.2">
      <c r="A83" s="12" t="s">
        <v>400</v>
      </c>
      <c r="B83" s="11">
        <v>400000</v>
      </c>
      <c r="C83" s="10">
        <v>150000</v>
      </c>
      <c r="D83" s="10">
        <f>C83*0.75</f>
        <v>112500</v>
      </c>
      <c r="E83" s="5">
        <f>ROUNDUP(B83/D83,0)</f>
        <v>4</v>
      </c>
      <c r="F83" s="5">
        <v>30</v>
      </c>
      <c r="G83" s="10">
        <f>F83*C83</f>
        <v>4500000</v>
      </c>
      <c r="H83" s="15">
        <f>(G83-B83)/B83</f>
        <v>10.25</v>
      </c>
      <c r="I83" s="3" t="s">
        <v>361</v>
      </c>
    </row>
    <row r="84" spans="1:9" ht="16" x14ac:dyDescent="0.2">
      <c r="A84" s="12" t="s">
        <v>399</v>
      </c>
      <c r="B84" s="11">
        <v>250000</v>
      </c>
      <c r="C84" s="10">
        <v>100000</v>
      </c>
      <c r="D84" s="10">
        <f>C84*0.8</f>
        <v>80000</v>
      </c>
      <c r="E84" s="5">
        <f>ROUNDUP(B84/D84,0)</f>
        <v>4</v>
      </c>
      <c r="F84" s="5">
        <v>50</v>
      </c>
      <c r="G84" s="10">
        <f>F84*C84</f>
        <v>5000000</v>
      </c>
      <c r="H84" s="15">
        <f>(G84-B84)/B84</f>
        <v>19</v>
      </c>
      <c r="I84" s="3" t="s">
        <v>361</v>
      </c>
    </row>
    <row r="85" spans="1:9" ht="16" x14ac:dyDescent="0.2">
      <c r="A85" s="12" t="s">
        <v>407</v>
      </c>
      <c r="B85" s="11">
        <v>800000</v>
      </c>
      <c r="C85" s="10">
        <v>300000</v>
      </c>
      <c r="D85" s="10">
        <f>C85*0.7</f>
        <v>210000</v>
      </c>
      <c r="E85" s="5">
        <f>ROUNDUP(B85/D85,0)</f>
        <v>4</v>
      </c>
      <c r="F85" s="5">
        <v>10</v>
      </c>
      <c r="G85" s="10">
        <f>F85*C85</f>
        <v>3000000</v>
      </c>
      <c r="H85" s="15">
        <f>(G85-B85)/B85</f>
        <v>2.75</v>
      </c>
      <c r="I85" s="3" t="s">
        <v>345</v>
      </c>
    </row>
    <row r="86" spans="1:9" ht="16" x14ac:dyDescent="0.2">
      <c r="A86" s="12" t="s">
        <v>406</v>
      </c>
      <c r="B86" s="11">
        <v>500000</v>
      </c>
      <c r="C86" s="10">
        <v>200000</v>
      </c>
      <c r="D86" s="10">
        <f>C86*0.65</f>
        <v>130000</v>
      </c>
      <c r="E86" s="5">
        <f>ROUNDUP(B86/D86,0)</f>
        <v>4</v>
      </c>
      <c r="F86" s="5">
        <v>25</v>
      </c>
      <c r="G86" s="10">
        <f>F86*C86</f>
        <v>5000000</v>
      </c>
      <c r="H86" s="15">
        <f>(G86-B86)/B86</f>
        <v>9</v>
      </c>
      <c r="I86" s="3" t="s">
        <v>361</v>
      </c>
    </row>
    <row r="87" spans="1:9" ht="16" x14ac:dyDescent="0.2">
      <c r="A87" s="12" t="s">
        <v>396</v>
      </c>
      <c r="B87" s="11">
        <v>350000</v>
      </c>
      <c r="C87" s="10">
        <v>120000</v>
      </c>
      <c r="D87" s="10">
        <f>C87*0.75</f>
        <v>90000</v>
      </c>
      <c r="E87" s="5">
        <f>ROUNDUP(B87/D87,0)</f>
        <v>4</v>
      </c>
      <c r="F87" s="5">
        <v>40</v>
      </c>
      <c r="G87" s="10">
        <f>F87*C87</f>
        <v>4800000</v>
      </c>
      <c r="H87" s="15">
        <f>(G87-B87)/B87</f>
        <v>12.714285714285714</v>
      </c>
      <c r="I87" s="3" t="s">
        <v>345</v>
      </c>
    </row>
    <row r="88" spans="1:9" ht="16" x14ac:dyDescent="0.2">
      <c r="A88" s="12" t="s">
        <v>393</v>
      </c>
      <c r="B88" s="11">
        <v>600000</v>
      </c>
      <c r="C88" s="10">
        <v>180000</v>
      </c>
      <c r="D88" s="10">
        <f>C88*0.6</f>
        <v>108000</v>
      </c>
      <c r="E88" s="5">
        <f>ROUNDUP(B88/D88,0)</f>
        <v>6</v>
      </c>
      <c r="F88" s="5">
        <v>20</v>
      </c>
      <c r="G88" s="10">
        <f>F88*C88</f>
        <v>3600000</v>
      </c>
      <c r="H88" s="15">
        <f>(G88-B88)/B88</f>
        <v>5</v>
      </c>
      <c r="I88" s="3" t="s">
        <v>352</v>
      </c>
    </row>
    <row r="89" spans="1:9" ht="16" x14ac:dyDescent="0.2">
      <c r="A89" s="12" t="s">
        <v>390</v>
      </c>
      <c r="B89" s="11">
        <v>400000</v>
      </c>
      <c r="C89" s="10">
        <v>150000</v>
      </c>
      <c r="D89" s="10">
        <f>C89*0.7</f>
        <v>105000</v>
      </c>
      <c r="E89" s="5">
        <f>ROUNDUP(B89/D89,0)</f>
        <v>4</v>
      </c>
      <c r="F89" s="5">
        <v>35</v>
      </c>
      <c r="G89" s="10">
        <f>F89*C89</f>
        <v>5250000</v>
      </c>
      <c r="H89" s="15">
        <f>(G89-B89)/B89</f>
        <v>12.125</v>
      </c>
      <c r="I89" s="3" t="s">
        <v>345</v>
      </c>
    </row>
  </sheetData>
  <mergeCells count="5">
    <mergeCell ref="A1:K1"/>
    <mergeCell ref="A15:H15"/>
    <mergeCell ref="A39:G39"/>
    <mergeCell ref="A61:J61"/>
    <mergeCell ref="A80:I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tabSelected="1" zoomScale="184" workbookViewId="0">
      <selection activeCell="D17" sqref="D17"/>
    </sheetView>
  </sheetViews>
  <sheetFormatPr baseColWidth="10" defaultColWidth="8.83203125" defaultRowHeight="15" x14ac:dyDescent="0.2"/>
  <cols>
    <col min="1" max="7" width="22" customWidth="1"/>
  </cols>
  <sheetData>
    <row r="1" spans="1:8" ht="19" x14ac:dyDescent="0.25">
      <c r="A1" s="7" t="s">
        <v>216</v>
      </c>
      <c r="B1" s="8"/>
      <c r="C1" s="8"/>
      <c r="D1" s="8"/>
      <c r="E1" s="8"/>
      <c r="F1" s="8"/>
      <c r="G1" s="8"/>
      <c r="H1" s="8"/>
    </row>
    <row r="3" spans="1:8" ht="16" x14ac:dyDescent="0.2">
      <c r="A3" s="1" t="s">
        <v>217</v>
      </c>
      <c r="B3" s="1" t="s">
        <v>218</v>
      </c>
      <c r="C3" s="1" t="s">
        <v>219</v>
      </c>
      <c r="D3" s="1" t="s">
        <v>29</v>
      </c>
      <c r="E3" s="1" t="s">
        <v>220</v>
      </c>
      <c r="F3" s="1" t="s">
        <v>43</v>
      </c>
      <c r="G3" s="1" t="s">
        <v>221</v>
      </c>
    </row>
    <row r="4" spans="1:8" ht="16" x14ac:dyDescent="0.2">
      <c r="A4" s="2" t="s">
        <v>321</v>
      </c>
      <c r="B4" s="3" t="s">
        <v>222</v>
      </c>
      <c r="C4" s="3" t="s">
        <v>223</v>
      </c>
      <c r="D4" s="3" t="s">
        <v>224</v>
      </c>
      <c r="E4" s="3" t="s">
        <v>225</v>
      </c>
      <c r="F4" s="3" t="s">
        <v>226</v>
      </c>
      <c r="G4" s="3" t="s">
        <v>227</v>
      </c>
    </row>
    <row r="5" spans="1:8" ht="16" x14ac:dyDescent="0.2">
      <c r="A5" s="2" t="s">
        <v>228</v>
      </c>
      <c r="B5" s="3" t="s">
        <v>222</v>
      </c>
      <c r="C5" s="3" t="s">
        <v>229</v>
      </c>
      <c r="D5" s="3" t="s">
        <v>30</v>
      </c>
      <c r="E5" s="3" t="s">
        <v>42</v>
      </c>
      <c r="F5" s="3" t="s">
        <v>230</v>
      </c>
      <c r="G5" s="3" t="s">
        <v>231</v>
      </c>
    </row>
    <row r="6" spans="1:8" ht="16" x14ac:dyDescent="0.2">
      <c r="A6" s="2" t="s">
        <v>232</v>
      </c>
      <c r="B6" s="3" t="s">
        <v>222</v>
      </c>
      <c r="C6" s="3" t="s">
        <v>233</v>
      </c>
      <c r="D6" s="3" t="s">
        <v>30</v>
      </c>
      <c r="E6" s="3" t="s">
        <v>42</v>
      </c>
      <c r="F6" s="3" t="s">
        <v>234</v>
      </c>
      <c r="G6" s="3" t="s">
        <v>235</v>
      </c>
    </row>
    <row r="7" spans="1:8" ht="16" x14ac:dyDescent="0.2">
      <c r="A7" s="2" t="s">
        <v>236</v>
      </c>
      <c r="B7" s="3" t="s">
        <v>222</v>
      </c>
      <c r="C7" s="3" t="s">
        <v>237</v>
      </c>
      <c r="D7" s="3" t="s">
        <v>30</v>
      </c>
      <c r="E7" s="3" t="s">
        <v>238</v>
      </c>
      <c r="F7" s="3" t="s">
        <v>239</v>
      </c>
      <c r="G7" s="3" t="s">
        <v>240</v>
      </c>
    </row>
    <row r="8" spans="1:8" ht="16" x14ac:dyDescent="0.2">
      <c r="A8" s="2" t="s">
        <v>241</v>
      </c>
      <c r="B8" s="3" t="s">
        <v>222</v>
      </c>
      <c r="C8" s="3" t="s">
        <v>242</v>
      </c>
      <c r="D8" s="3" t="s">
        <v>30</v>
      </c>
      <c r="E8" s="3" t="s">
        <v>42</v>
      </c>
      <c r="F8" s="3" t="s">
        <v>226</v>
      </c>
      <c r="G8" s="3" t="s">
        <v>243</v>
      </c>
    </row>
    <row r="9" spans="1:8" ht="16" x14ac:dyDescent="0.2">
      <c r="A9" s="2" t="s">
        <v>244</v>
      </c>
      <c r="B9" s="3" t="s">
        <v>222</v>
      </c>
      <c r="C9" s="3" t="s">
        <v>57</v>
      </c>
      <c r="D9" s="3" t="s">
        <v>245</v>
      </c>
      <c r="E9" s="3" t="s">
        <v>42</v>
      </c>
      <c r="F9" s="3" t="s">
        <v>226</v>
      </c>
      <c r="G9" s="3" t="s">
        <v>246</v>
      </c>
    </row>
    <row r="10" spans="1:8" ht="16" x14ac:dyDescent="0.2">
      <c r="A10" s="2" t="s">
        <v>247</v>
      </c>
      <c r="B10" s="3" t="s">
        <v>248</v>
      </c>
      <c r="C10" s="3" t="s">
        <v>249</v>
      </c>
      <c r="D10" s="3" t="s">
        <v>42</v>
      </c>
      <c r="E10" s="3" t="s">
        <v>250</v>
      </c>
      <c r="F10" s="3" t="s">
        <v>251</v>
      </c>
      <c r="G10" s="3" t="s">
        <v>252</v>
      </c>
    </row>
    <row r="11" spans="1:8" ht="16" x14ac:dyDescent="0.2">
      <c r="A11" s="2" t="s">
        <v>253</v>
      </c>
      <c r="B11" s="3" t="s">
        <v>248</v>
      </c>
      <c r="C11" s="3" t="s">
        <v>254</v>
      </c>
      <c r="D11" s="3" t="s">
        <v>42</v>
      </c>
      <c r="E11" s="3" t="s">
        <v>250</v>
      </c>
      <c r="F11" s="3" t="s">
        <v>255</v>
      </c>
      <c r="G11" s="3" t="s">
        <v>256</v>
      </c>
    </row>
    <row r="12" spans="1:8" ht="16" x14ac:dyDescent="0.2">
      <c r="A12" s="2" t="s">
        <v>257</v>
      </c>
      <c r="B12" s="3" t="s">
        <v>222</v>
      </c>
      <c r="C12" s="3" t="s">
        <v>187</v>
      </c>
      <c r="D12" s="3" t="s">
        <v>30</v>
      </c>
      <c r="E12" s="3" t="s">
        <v>258</v>
      </c>
      <c r="F12" s="3" t="s">
        <v>259</v>
      </c>
      <c r="G12" s="3" t="s">
        <v>260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Тарифные планы</vt:lpstr>
      <vt:lpstr>Начало</vt:lpstr>
      <vt:lpstr>Конкуренты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 Шикунов</cp:lastModifiedBy>
  <dcterms:created xsi:type="dcterms:W3CDTF">2025-11-19T08:22:22Z</dcterms:created>
  <dcterms:modified xsi:type="dcterms:W3CDTF">2025-11-19T08:44:46Z</dcterms:modified>
</cp:coreProperties>
</file>